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60" windowWidth="9435" windowHeight="9210"/>
  </bookViews>
  <sheets>
    <sheet name="CDE" sheetId="6" r:id="rId1"/>
    <sheet name="2-region" sheetId="7" r:id="rId2"/>
  </sheets>
  <functionGroups builtInGroupCount="17"/>
  <definedNames>
    <definedName name="_mu1">'2-region'!$G$9</definedName>
    <definedName name="_mu2">'2-region'!$G$10</definedName>
    <definedName name="alpha">'2-region'!$D$6</definedName>
    <definedName name="beta">'2-region'!$G$6</definedName>
    <definedName name="C_type">'2-region'!#REF!</definedName>
    <definedName name="Ci">'2-region'!$G$11</definedName>
    <definedName name="Ci_">CDE!$C$18</definedName>
    <definedName name="Co">'2-region'!$G$12</definedName>
    <definedName name="Co_">CDE!$C$19</definedName>
    <definedName name="Ctype" localSheetId="1">'2-region'!$G$1:$G$2</definedName>
    <definedName name="Ctype">CDE!$H$1:$H$1</definedName>
    <definedName name="decay">CDE!$C$15</definedName>
    <definedName name="decay_m_aq">'2-region'!$D$10</definedName>
    <definedName name="Deff">CDE!$C$13</definedName>
    <definedName name="disp_m">'2-region'!$D$7</definedName>
    <definedName name="f_m_sorb">'2-region'!$D$9</definedName>
    <definedName name="f_m_water">'2-region'!$D$5</definedName>
    <definedName name="f_sorb_m">'2-region'!$D$9</definedName>
    <definedName name="log">'2-region'!$G$13</definedName>
    <definedName name="Lref">'2-region'!$D$17</definedName>
    <definedName name="method">'2-region'!$G$14</definedName>
    <definedName name="Nint">'2-region'!$G$15</definedName>
    <definedName name="NoParaConstraint" localSheetId="0">1</definedName>
    <definedName name="ObjFuncCell" localSheetId="0">CDE!$G$13</definedName>
    <definedName name="OffsetParaStd" localSheetId="0">-2</definedName>
    <definedName name="OffsetPredEP" localSheetId="0">1</definedName>
    <definedName name="OffsetPredStd" localSheetId="0">-3</definedName>
    <definedName name="omega">'2-region'!$G$7</definedName>
    <definedName name="P">'2-region'!$G$5</definedName>
    <definedName name="ParameterRange" localSheetId="0">CDE!$J$3:$J$7</definedName>
    <definedName name="PredictionRange" localSheetId="0">CDE!$K$27:$K$146</definedName>
    <definedName name="production">CDE!$C$17</definedName>
    <definedName name="q">'2-region'!$D$3</definedName>
    <definedName name="R_">CDE!$C$14</definedName>
    <definedName name="RF">'2-region'!$G$8</definedName>
    <definedName name="rho_kd">'2-region'!$D$8</definedName>
    <definedName name="rhokd">'2-region'!$D$8</definedName>
    <definedName name="solver_adj" localSheetId="0" hidden="1">CDE!$J$3:$J$7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CDE!$G$13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theta">'2-region'!$D$4</definedName>
    <definedName name="to">'2-region'!$G$4</definedName>
    <definedName name="to_">CDE!$C$20</definedName>
    <definedName name="tol">'2-region'!$G$16</definedName>
    <definedName name="Type">CDE!$D$21</definedName>
    <definedName name="v">'2-region'!$G$3</definedName>
    <definedName name="v_">CDE!$C$12</definedName>
  </definedNames>
  <calcPr calcId="145621"/>
</workbook>
</file>

<file path=xl/calcChain.xml><?xml version="1.0" encoding="utf-8"?>
<calcChain xmlns="http://schemas.openxmlformats.org/spreadsheetml/2006/main">
  <c r="D7" i="6" l="1"/>
  <c r="D6" i="6"/>
  <c r="D5" i="6"/>
  <c r="D4" i="6"/>
  <c r="D3" i="6"/>
  <c r="I3" i="6"/>
  <c r="I4" i="6"/>
  <c r="I5" i="6"/>
  <c r="I7" i="6"/>
  <c r="G7" i="6"/>
  <c r="G6" i="6"/>
  <c r="I6" i="6" s="1"/>
  <c r="G5" i="6"/>
  <c r="G3" i="6"/>
  <c r="D20" i="6"/>
  <c r="D18" i="6"/>
  <c r="B28" i="6"/>
  <c r="B29" i="6"/>
  <c r="B78" i="6"/>
  <c r="C128" i="6"/>
  <c r="C129" i="6" s="1"/>
  <c r="C137" i="6"/>
  <c r="B22" i="7"/>
  <c r="B23" i="7"/>
  <c r="B24" i="7" s="1"/>
  <c r="G7" i="7"/>
  <c r="G5" i="7"/>
  <c r="G8" i="7"/>
  <c r="G6" i="7"/>
  <c r="G3" i="7"/>
  <c r="G11" i="7"/>
  <c r="G12" i="7"/>
  <c r="G10" i="7"/>
  <c r="G9" i="7"/>
  <c r="G4" i="7"/>
  <c r="D21" i="7"/>
  <c r="E22" i="7"/>
  <c r="G22" i="7"/>
  <c r="D22" i="7"/>
  <c r="G145" i="6"/>
  <c r="G21" i="7"/>
  <c r="E24" i="7"/>
  <c r="D23" i="7"/>
  <c r="E21" i="7"/>
  <c r="B25" i="7" l="1"/>
  <c r="G17" i="6"/>
  <c r="G12" i="6"/>
  <c r="C138" i="6"/>
  <c r="C130" i="6"/>
  <c r="B79" i="6"/>
  <c r="B30" i="6"/>
  <c r="C15" i="6"/>
  <c r="C12" i="6"/>
  <c r="C14" i="6"/>
  <c r="F21" i="7"/>
  <c r="F22" i="7"/>
  <c r="G24" i="7"/>
  <c r="E23" i="7"/>
  <c r="D24" i="7"/>
  <c r="G23" i="7"/>
  <c r="G146" i="6"/>
  <c r="F24" i="7" l="1"/>
  <c r="F23" i="7"/>
  <c r="B26" i="7"/>
  <c r="C13" i="6"/>
  <c r="B80" i="6"/>
  <c r="C139" i="6"/>
  <c r="B31" i="6"/>
  <c r="C131" i="6"/>
  <c r="D12" i="6"/>
  <c r="D25" i="7"/>
  <c r="E25" i="7"/>
  <c r="G137" i="6"/>
  <c r="G138" i="6"/>
  <c r="G135" i="6"/>
  <c r="G144" i="6"/>
  <c r="G80" i="6"/>
  <c r="G77" i="6"/>
  <c r="G131" i="6"/>
  <c r="G25" i="7"/>
  <c r="G128" i="6"/>
  <c r="G78" i="6"/>
  <c r="G79" i="6"/>
  <c r="G136" i="6"/>
  <c r="G129" i="6"/>
  <c r="G130" i="6"/>
  <c r="G127" i="6"/>
  <c r="G139" i="6"/>
  <c r="F25" i="7" l="1"/>
  <c r="B27" i="7"/>
  <c r="D13" i="6"/>
  <c r="K139" i="6"/>
  <c r="K131" i="6"/>
  <c r="K145" i="6"/>
  <c r="K127" i="6"/>
  <c r="K135" i="6"/>
  <c r="K77" i="6"/>
  <c r="K79" i="6"/>
  <c r="K130" i="6"/>
  <c r="K138" i="6"/>
  <c r="K80" i="6"/>
  <c r="K146" i="6"/>
  <c r="K78" i="6"/>
  <c r="K129" i="6"/>
  <c r="K137" i="6"/>
  <c r="K144" i="6"/>
  <c r="K128" i="6"/>
  <c r="K136" i="6"/>
  <c r="I80" i="6"/>
  <c r="J80" i="6" s="1"/>
  <c r="I139" i="6"/>
  <c r="J139" i="6" s="1"/>
  <c r="I131" i="6"/>
  <c r="J131" i="6" s="1"/>
  <c r="I146" i="6"/>
  <c r="J146" i="6" s="1"/>
  <c r="I145" i="6"/>
  <c r="J145" i="6" s="1"/>
  <c r="I78" i="6"/>
  <c r="J78" i="6" s="1"/>
  <c r="I127" i="6"/>
  <c r="J127" i="6" s="1"/>
  <c r="I129" i="6"/>
  <c r="J129" i="6" s="1"/>
  <c r="I135" i="6"/>
  <c r="J135" i="6" s="1"/>
  <c r="I137" i="6"/>
  <c r="J137" i="6" s="1"/>
  <c r="I77" i="6"/>
  <c r="I144" i="6"/>
  <c r="J144" i="6" s="1"/>
  <c r="I79" i="6"/>
  <c r="J79" i="6" s="1"/>
  <c r="I128" i="6"/>
  <c r="J128" i="6" s="1"/>
  <c r="I130" i="6"/>
  <c r="J130" i="6" s="1"/>
  <c r="I136" i="6"/>
  <c r="J136" i="6" s="1"/>
  <c r="I138" i="6"/>
  <c r="J138" i="6" s="1"/>
  <c r="B32" i="6"/>
  <c r="B81" i="6"/>
  <c r="C132" i="6"/>
  <c r="C140" i="6"/>
  <c r="E26" i="7"/>
  <c r="G26" i="7"/>
  <c r="G31" i="6"/>
  <c r="G28" i="6"/>
  <c r="G32" i="6"/>
  <c r="G132" i="6"/>
  <c r="D26" i="7"/>
  <c r="G30" i="6"/>
  <c r="G29" i="6"/>
  <c r="G27" i="6"/>
  <c r="G81" i="6"/>
  <c r="G140" i="6"/>
  <c r="F26" i="7" l="1"/>
  <c r="B28" i="7"/>
  <c r="K27" i="6"/>
  <c r="I27" i="6"/>
  <c r="J27" i="6" s="1"/>
  <c r="K28" i="6"/>
  <c r="I28" i="6"/>
  <c r="J28" i="6" s="1"/>
  <c r="I29" i="6"/>
  <c r="J29" i="6" s="1"/>
  <c r="K29" i="6"/>
  <c r="K31" i="6"/>
  <c r="I31" i="6"/>
  <c r="J31" i="6" s="1"/>
  <c r="I30" i="6"/>
  <c r="J30" i="6" s="1"/>
  <c r="K30" i="6"/>
  <c r="K81" i="6"/>
  <c r="K140" i="6"/>
  <c r="K32" i="6"/>
  <c r="K132" i="6"/>
  <c r="J77" i="6"/>
  <c r="I32" i="6"/>
  <c r="J32" i="6" s="1"/>
  <c r="I81" i="6"/>
  <c r="J81" i="6" s="1"/>
  <c r="I132" i="6"/>
  <c r="J132" i="6" s="1"/>
  <c r="I140" i="6"/>
  <c r="J140" i="6" s="1"/>
  <c r="C133" i="6"/>
  <c r="B82" i="6"/>
  <c r="C141" i="6"/>
  <c r="B33" i="6"/>
  <c r="E27" i="7"/>
  <c r="G133" i="6"/>
  <c r="G82" i="6"/>
  <c r="D27" i="7"/>
  <c r="G27" i="7"/>
  <c r="G33" i="6"/>
  <c r="G141" i="6"/>
  <c r="F27" i="7" l="1"/>
  <c r="B29" i="7"/>
  <c r="K133" i="6"/>
  <c r="K82" i="6"/>
  <c r="K33" i="6"/>
  <c r="K141" i="6"/>
  <c r="I133" i="6"/>
  <c r="J133" i="6" s="1"/>
  <c r="I82" i="6"/>
  <c r="I141" i="6"/>
  <c r="J141" i="6" s="1"/>
  <c r="I33" i="6"/>
  <c r="C142" i="6"/>
  <c r="C134" i="6"/>
  <c r="B34" i="6"/>
  <c r="B83" i="6"/>
  <c r="G28" i="7"/>
  <c r="D28" i="7"/>
  <c r="G134" i="6"/>
  <c r="G83" i="6"/>
  <c r="E28" i="7"/>
  <c r="G34" i="6"/>
  <c r="G142" i="6"/>
  <c r="F28" i="7" l="1"/>
  <c r="B30" i="7"/>
  <c r="K134" i="6"/>
  <c r="K83" i="6"/>
  <c r="K142" i="6"/>
  <c r="K34" i="6"/>
  <c r="J33" i="6"/>
  <c r="J82" i="6"/>
  <c r="I134" i="6"/>
  <c r="J134" i="6" s="1"/>
  <c r="I83" i="6"/>
  <c r="J83" i="6" s="1"/>
  <c r="I34" i="6"/>
  <c r="J34" i="6" s="1"/>
  <c r="I142" i="6"/>
  <c r="J142" i="6" s="1"/>
  <c r="B35" i="6"/>
  <c r="C143" i="6"/>
  <c r="B84" i="6"/>
  <c r="G29" i="7"/>
  <c r="G35" i="6"/>
  <c r="E29" i="7"/>
  <c r="D29" i="7"/>
  <c r="G143" i="6"/>
  <c r="G84" i="6"/>
  <c r="F29" i="7" l="1"/>
  <c r="B31" i="7"/>
  <c r="K143" i="6"/>
  <c r="K35" i="6"/>
  <c r="K84" i="6"/>
  <c r="I143" i="6"/>
  <c r="I84" i="6"/>
  <c r="I35" i="6"/>
  <c r="J35" i="6" s="1"/>
  <c r="B85" i="6"/>
  <c r="G18" i="6"/>
  <c r="Y143" i="6" s="1"/>
  <c r="B36" i="6"/>
  <c r="E30" i="7"/>
  <c r="G36" i="6"/>
  <c r="D30" i="7"/>
  <c r="G30" i="7"/>
  <c r="G85" i="6"/>
  <c r="F30" i="7" l="1"/>
  <c r="B32" i="7"/>
  <c r="K85" i="6"/>
  <c r="K36" i="6"/>
  <c r="J143" i="6"/>
  <c r="J84" i="6"/>
  <c r="I85" i="6"/>
  <c r="J85" i="6" s="1"/>
  <c r="I36" i="6"/>
  <c r="J36" i="6" s="1"/>
  <c r="B37" i="6"/>
  <c r="Y144" i="6"/>
  <c r="Y136" i="6"/>
  <c r="Y135" i="6"/>
  <c r="Y127" i="6"/>
  <c r="Y126" i="6"/>
  <c r="Y125" i="6"/>
  <c r="Y124" i="6"/>
  <c r="Y123" i="6"/>
  <c r="Y122" i="6"/>
  <c r="Y121" i="6"/>
  <c r="Y120" i="6"/>
  <c r="Y119" i="6"/>
  <c r="Y118" i="6"/>
  <c r="Y117" i="6"/>
  <c r="Y116" i="6"/>
  <c r="Y115" i="6"/>
  <c r="Y114" i="6"/>
  <c r="Y113" i="6"/>
  <c r="Y112" i="6"/>
  <c r="Y111" i="6"/>
  <c r="Y110" i="6"/>
  <c r="Y109" i="6"/>
  <c r="Y108" i="6"/>
  <c r="Y107" i="6"/>
  <c r="Y106" i="6"/>
  <c r="Y105" i="6"/>
  <c r="Y104" i="6"/>
  <c r="Y103" i="6"/>
  <c r="Y102" i="6"/>
  <c r="Y101" i="6"/>
  <c r="Y100" i="6"/>
  <c r="Y99" i="6"/>
  <c r="Y98" i="6"/>
  <c r="Y97" i="6"/>
  <c r="Y96" i="6"/>
  <c r="Y95" i="6"/>
  <c r="Y94" i="6"/>
  <c r="Y93" i="6"/>
  <c r="Y92" i="6"/>
  <c r="Y91" i="6"/>
  <c r="Y90" i="6"/>
  <c r="Y89" i="6"/>
  <c r="Y88" i="6"/>
  <c r="Y87" i="6"/>
  <c r="Y86" i="6"/>
  <c r="Y85" i="6"/>
  <c r="Y84" i="6"/>
  <c r="Y83" i="6"/>
  <c r="Y82" i="6"/>
  <c r="Y81" i="6"/>
  <c r="Y80" i="6"/>
  <c r="Y79" i="6"/>
  <c r="Y78" i="6"/>
  <c r="Y77" i="6"/>
  <c r="Y76" i="6"/>
  <c r="Y75" i="6"/>
  <c r="Y74" i="6"/>
  <c r="Y73" i="6"/>
  <c r="Y72" i="6"/>
  <c r="Y71" i="6"/>
  <c r="Y70" i="6"/>
  <c r="Y69" i="6"/>
  <c r="Y68" i="6"/>
  <c r="Y67" i="6"/>
  <c r="Y66" i="6"/>
  <c r="Y65" i="6"/>
  <c r="Y64" i="6"/>
  <c r="Y63" i="6"/>
  <c r="Y62" i="6"/>
  <c r="Y61" i="6"/>
  <c r="Y60" i="6"/>
  <c r="Y59" i="6"/>
  <c r="Y58" i="6"/>
  <c r="Y57" i="6"/>
  <c r="Y56" i="6"/>
  <c r="Y55" i="6"/>
  <c r="Y54" i="6"/>
  <c r="Y53" i="6"/>
  <c r="Y52" i="6"/>
  <c r="Y51" i="6"/>
  <c r="Y50" i="6"/>
  <c r="Y49" i="6"/>
  <c r="Y48" i="6"/>
  <c r="Y47" i="6"/>
  <c r="Y46" i="6"/>
  <c r="Y45" i="6"/>
  <c r="Y44" i="6"/>
  <c r="Y43" i="6"/>
  <c r="Y42" i="6"/>
  <c r="Y41" i="6"/>
  <c r="Y40" i="6"/>
  <c r="Y39" i="6"/>
  <c r="Y38" i="6"/>
  <c r="Y37" i="6"/>
  <c r="Y36" i="6"/>
  <c r="Y35" i="6"/>
  <c r="Y34" i="6"/>
  <c r="Y33" i="6"/>
  <c r="Y32" i="6"/>
  <c r="Y31" i="6"/>
  <c r="Y30" i="6"/>
  <c r="Y29" i="6"/>
  <c r="Y28" i="6"/>
  <c r="Y27" i="6"/>
  <c r="Y137" i="6"/>
  <c r="Y129" i="6"/>
  <c r="Y128" i="6"/>
  <c r="Y138" i="6"/>
  <c r="Y130" i="6"/>
  <c r="Y131" i="6"/>
  <c r="Y139" i="6"/>
  <c r="Y132" i="6"/>
  <c r="Y140" i="6"/>
  <c r="Y141" i="6"/>
  <c r="Y133" i="6"/>
  <c r="Y134" i="6"/>
  <c r="Y142" i="6"/>
  <c r="B86" i="6"/>
  <c r="G31" i="7"/>
  <c r="G86" i="6"/>
  <c r="E31" i="7"/>
  <c r="D31" i="7"/>
  <c r="G37" i="6"/>
  <c r="F31" i="7" l="1"/>
  <c r="Y24" i="6"/>
  <c r="B33" i="7"/>
  <c r="K86" i="6"/>
  <c r="K37" i="6"/>
  <c r="I37" i="6"/>
  <c r="J37" i="6" s="1"/>
  <c r="I86" i="6"/>
  <c r="B38" i="6"/>
  <c r="B87" i="6"/>
  <c r="G32" i="7"/>
  <c r="G38" i="6"/>
  <c r="D32" i="7"/>
  <c r="E32" i="7"/>
  <c r="G87" i="6"/>
  <c r="F32" i="7" l="1"/>
  <c r="B34" i="7"/>
  <c r="K38" i="6"/>
  <c r="K87" i="6"/>
  <c r="J86" i="6"/>
  <c r="I38" i="6"/>
  <c r="J38" i="6" s="1"/>
  <c r="I87" i="6"/>
  <c r="J87" i="6" s="1"/>
  <c r="B88" i="6"/>
  <c r="B39" i="6"/>
  <c r="D33" i="7"/>
  <c r="G39" i="6"/>
  <c r="G33" i="7"/>
  <c r="E33" i="7"/>
  <c r="G88" i="6"/>
  <c r="F33" i="7" l="1"/>
  <c r="B35" i="7"/>
  <c r="K88" i="6"/>
  <c r="K39" i="6"/>
  <c r="I88" i="6"/>
  <c r="J88" i="6" s="1"/>
  <c r="I39" i="6"/>
  <c r="J39" i="6" s="1"/>
  <c r="B40" i="6"/>
  <c r="B89" i="6"/>
  <c r="D34" i="7"/>
  <c r="G40" i="6"/>
  <c r="E34" i="7"/>
  <c r="G34" i="7"/>
  <c r="G89" i="6"/>
  <c r="F34" i="7" l="1"/>
  <c r="B36" i="7"/>
  <c r="K89" i="6"/>
  <c r="K40" i="6"/>
  <c r="I40" i="6"/>
  <c r="J40" i="6" s="1"/>
  <c r="I89" i="6"/>
  <c r="J89" i="6" s="1"/>
  <c r="B90" i="6"/>
  <c r="B41" i="6"/>
  <c r="G35" i="7"/>
  <c r="G90" i="6"/>
  <c r="E35" i="7"/>
  <c r="D35" i="7"/>
  <c r="G41" i="6"/>
  <c r="F35" i="7" l="1"/>
  <c r="B37" i="7"/>
  <c r="K41" i="6"/>
  <c r="K90" i="6"/>
  <c r="I90" i="6"/>
  <c r="J90" i="6" s="1"/>
  <c r="I41" i="6"/>
  <c r="J41" i="6" s="1"/>
  <c r="B42" i="6"/>
  <c r="B91" i="6"/>
  <c r="G36" i="7"/>
  <c r="G42" i="6"/>
  <c r="E36" i="7"/>
  <c r="D36" i="7"/>
  <c r="G91" i="6"/>
  <c r="F36" i="7" l="1"/>
  <c r="B38" i="7"/>
  <c r="K91" i="6"/>
  <c r="K42" i="6"/>
  <c r="I42" i="6"/>
  <c r="J42" i="6" s="1"/>
  <c r="I91" i="6"/>
  <c r="J91" i="6" s="1"/>
  <c r="B92" i="6"/>
  <c r="B43" i="6"/>
  <c r="E37" i="7"/>
  <c r="G92" i="6"/>
  <c r="G37" i="7"/>
  <c r="D37" i="7"/>
  <c r="G43" i="6"/>
  <c r="F37" i="7" l="1"/>
  <c r="B39" i="7"/>
  <c r="K43" i="6"/>
  <c r="K92" i="6"/>
  <c r="I92" i="6"/>
  <c r="J92" i="6" s="1"/>
  <c r="I43" i="6"/>
  <c r="J43" i="6" s="1"/>
  <c r="B44" i="6"/>
  <c r="B93" i="6"/>
  <c r="G38" i="7"/>
  <c r="D38" i="7"/>
  <c r="G44" i="6"/>
  <c r="E38" i="7"/>
  <c r="G93" i="6"/>
  <c r="F38" i="7" l="1"/>
  <c r="B40" i="7"/>
  <c r="K93" i="6"/>
  <c r="K44" i="6"/>
  <c r="I44" i="6"/>
  <c r="J44" i="6" s="1"/>
  <c r="I93" i="6"/>
  <c r="J93" i="6" s="1"/>
  <c r="B94" i="6"/>
  <c r="B45" i="6"/>
  <c r="D39" i="7"/>
  <c r="G94" i="6"/>
  <c r="E39" i="7"/>
  <c r="G39" i="7"/>
  <c r="G45" i="6"/>
  <c r="F39" i="7" l="1"/>
  <c r="B41" i="7"/>
  <c r="K45" i="6"/>
  <c r="K94" i="6"/>
  <c r="I94" i="6"/>
  <c r="J94" i="6" s="1"/>
  <c r="I45" i="6"/>
  <c r="J45" i="6" s="1"/>
  <c r="B46" i="6"/>
  <c r="B95" i="6"/>
  <c r="G40" i="7"/>
  <c r="G46" i="6"/>
  <c r="D40" i="7"/>
  <c r="E40" i="7"/>
  <c r="G95" i="6"/>
  <c r="F40" i="7" l="1"/>
  <c r="B42" i="7"/>
  <c r="K95" i="6"/>
  <c r="K46" i="6"/>
  <c r="I46" i="6"/>
  <c r="J46" i="6" s="1"/>
  <c r="I95" i="6"/>
  <c r="J95" i="6" s="1"/>
  <c r="B96" i="6"/>
  <c r="B47" i="6"/>
  <c r="E41" i="7"/>
  <c r="G96" i="6"/>
  <c r="G41" i="7"/>
  <c r="D41" i="7"/>
  <c r="G47" i="6"/>
  <c r="F41" i="7" l="1"/>
  <c r="B43" i="7"/>
  <c r="K47" i="6"/>
  <c r="K96" i="6"/>
  <c r="I96" i="6"/>
  <c r="J96" i="6" s="1"/>
  <c r="I47" i="6"/>
  <c r="J47" i="6" s="1"/>
  <c r="B48" i="6"/>
  <c r="B97" i="6"/>
  <c r="G42" i="7"/>
  <c r="E42" i="7"/>
  <c r="G48" i="6"/>
  <c r="D42" i="7"/>
  <c r="G97" i="6"/>
  <c r="F42" i="7" l="1"/>
  <c r="B44" i="7"/>
  <c r="K97" i="6"/>
  <c r="K48" i="6"/>
  <c r="I48" i="6"/>
  <c r="J48" i="6" s="1"/>
  <c r="I97" i="6"/>
  <c r="J97" i="6" s="1"/>
  <c r="B98" i="6"/>
  <c r="B49" i="6"/>
  <c r="D43" i="7"/>
  <c r="G98" i="6"/>
  <c r="E43" i="7"/>
  <c r="G43" i="7"/>
  <c r="G49" i="6"/>
  <c r="F43" i="7" l="1"/>
  <c r="B45" i="7"/>
  <c r="K49" i="6"/>
  <c r="K98" i="6"/>
  <c r="I98" i="6"/>
  <c r="J98" i="6" s="1"/>
  <c r="I49" i="6"/>
  <c r="J49" i="6" s="1"/>
  <c r="B50" i="6"/>
  <c r="B99" i="6"/>
  <c r="G44" i="7"/>
  <c r="G50" i="6"/>
  <c r="E44" i="7"/>
  <c r="D44" i="7"/>
  <c r="G99" i="6"/>
  <c r="F44" i="7" l="1"/>
  <c r="B46" i="7"/>
  <c r="K99" i="6"/>
  <c r="K50" i="6"/>
  <c r="I50" i="6"/>
  <c r="J50" i="6" s="1"/>
  <c r="I99" i="6"/>
  <c r="J99" i="6" s="1"/>
  <c r="B100" i="6"/>
  <c r="B51" i="6"/>
  <c r="G45" i="7"/>
  <c r="G100" i="6"/>
  <c r="D45" i="7"/>
  <c r="E45" i="7"/>
  <c r="G51" i="6"/>
  <c r="F45" i="7" l="1"/>
  <c r="B47" i="7"/>
  <c r="K51" i="6"/>
  <c r="K100" i="6"/>
  <c r="I100" i="6"/>
  <c r="J100" i="6" s="1"/>
  <c r="I51" i="6"/>
  <c r="J51" i="6" s="1"/>
  <c r="B52" i="6"/>
  <c r="B101" i="6"/>
  <c r="G46" i="7"/>
  <c r="E46" i="7"/>
  <c r="G52" i="6"/>
  <c r="D46" i="7"/>
  <c r="G101" i="6"/>
  <c r="F46" i="7" l="1"/>
  <c r="B48" i="7"/>
  <c r="K101" i="6"/>
  <c r="K52" i="6"/>
  <c r="I52" i="6"/>
  <c r="J52" i="6" s="1"/>
  <c r="I101" i="6"/>
  <c r="J101" i="6" s="1"/>
  <c r="B102" i="6"/>
  <c r="B53" i="6"/>
  <c r="D47" i="7"/>
  <c r="G102" i="6"/>
  <c r="G47" i="7"/>
  <c r="E47" i="7"/>
  <c r="G53" i="6"/>
  <c r="F47" i="7" l="1"/>
  <c r="B49" i="7"/>
  <c r="K53" i="6"/>
  <c r="K102" i="6"/>
  <c r="I102" i="6"/>
  <c r="J102" i="6" s="1"/>
  <c r="I53" i="6"/>
  <c r="J53" i="6" s="1"/>
  <c r="B54" i="6"/>
  <c r="B103" i="6"/>
  <c r="G48" i="7"/>
  <c r="G54" i="6"/>
  <c r="D48" i="7"/>
  <c r="E48" i="7"/>
  <c r="G103" i="6"/>
  <c r="F48" i="7" l="1"/>
  <c r="B50" i="7"/>
  <c r="K103" i="6"/>
  <c r="K54" i="6"/>
  <c r="I54" i="6"/>
  <c r="J54" i="6" s="1"/>
  <c r="I103" i="6"/>
  <c r="J103" i="6" s="1"/>
  <c r="B104" i="6"/>
  <c r="B55" i="6"/>
  <c r="G49" i="7"/>
  <c r="G104" i="6"/>
  <c r="E49" i="7"/>
  <c r="D49" i="7"/>
  <c r="G55" i="6"/>
  <c r="F49" i="7" l="1"/>
  <c r="B51" i="7"/>
  <c r="K55" i="6"/>
  <c r="K104" i="6"/>
  <c r="I55" i="6"/>
  <c r="J55" i="6" s="1"/>
  <c r="I104" i="6"/>
  <c r="J104" i="6" s="1"/>
  <c r="B56" i="6"/>
  <c r="B105" i="6"/>
  <c r="G50" i="7"/>
  <c r="G56" i="6"/>
  <c r="D50" i="7"/>
  <c r="E50" i="7"/>
  <c r="G105" i="6"/>
  <c r="F50" i="7" l="1"/>
  <c r="B52" i="7"/>
  <c r="K105" i="6"/>
  <c r="K56" i="6"/>
  <c r="I56" i="6"/>
  <c r="J56" i="6" s="1"/>
  <c r="I105" i="6"/>
  <c r="J105" i="6" s="1"/>
  <c r="B106" i="6"/>
  <c r="B57" i="6"/>
  <c r="D51" i="7"/>
  <c r="G106" i="6"/>
  <c r="G51" i="7"/>
  <c r="E51" i="7"/>
  <c r="G57" i="6"/>
  <c r="F51" i="7" l="1"/>
  <c r="B53" i="7"/>
  <c r="K57" i="6"/>
  <c r="K106" i="6"/>
  <c r="I106" i="6"/>
  <c r="J106" i="6" s="1"/>
  <c r="I57" i="6"/>
  <c r="J57" i="6" s="1"/>
  <c r="B58" i="6"/>
  <c r="B107" i="6"/>
  <c r="G52" i="7"/>
  <c r="G58" i="6"/>
  <c r="E52" i="7"/>
  <c r="D52" i="7"/>
  <c r="G107" i="6"/>
  <c r="F52" i="7" l="1"/>
  <c r="B54" i="7"/>
  <c r="K107" i="6"/>
  <c r="K58" i="6"/>
  <c r="I58" i="6"/>
  <c r="J58" i="6" s="1"/>
  <c r="I107" i="6"/>
  <c r="J107" i="6" s="1"/>
  <c r="B108" i="6"/>
  <c r="B59" i="6"/>
  <c r="D53" i="7"/>
  <c r="G108" i="6"/>
  <c r="E53" i="7"/>
  <c r="G53" i="7"/>
  <c r="G59" i="6"/>
  <c r="F53" i="7" l="1"/>
  <c r="B55" i="7"/>
  <c r="K59" i="6"/>
  <c r="K108" i="6"/>
  <c r="I108" i="6"/>
  <c r="J108" i="6" s="1"/>
  <c r="I59" i="6"/>
  <c r="J59" i="6" s="1"/>
  <c r="B60" i="6"/>
  <c r="B109" i="6"/>
  <c r="D54" i="7"/>
  <c r="G109" i="6"/>
  <c r="E54" i="7"/>
  <c r="G54" i="7"/>
  <c r="G60" i="6"/>
  <c r="F54" i="7" l="1"/>
  <c r="B56" i="7"/>
  <c r="K109" i="6"/>
  <c r="K60" i="6"/>
  <c r="I60" i="6"/>
  <c r="J60" i="6" s="1"/>
  <c r="I109" i="6"/>
  <c r="J109" i="6" s="1"/>
  <c r="B110" i="6"/>
  <c r="B61" i="6"/>
  <c r="G55" i="7"/>
  <c r="G110" i="6"/>
  <c r="E55" i="7"/>
  <c r="D55" i="7"/>
  <c r="G61" i="6"/>
  <c r="F55" i="7" l="1"/>
  <c r="B57" i="7"/>
  <c r="K61" i="6"/>
  <c r="K110" i="6"/>
  <c r="I110" i="6"/>
  <c r="J110" i="6" s="1"/>
  <c r="I61" i="6"/>
  <c r="J61" i="6" s="1"/>
  <c r="B62" i="6"/>
  <c r="B111" i="6"/>
  <c r="E56" i="7"/>
  <c r="D56" i="7"/>
  <c r="G62" i="6"/>
  <c r="G56" i="7"/>
  <c r="G111" i="6"/>
  <c r="F56" i="7" l="1"/>
  <c r="B58" i="7"/>
  <c r="K111" i="6"/>
  <c r="K62" i="6"/>
  <c r="I62" i="6"/>
  <c r="J62" i="6" s="1"/>
  <c r="I111" i="6"/>
  <c r="J111" i="6" s="1"/>
  <c r="B112" i="6"/>
  <c r="B63" i="6"/>
  <c r="G57" i="7"/>
  <c r="G112" i="6"/>
  <c r="E57" i="7"/>
  <c r="D57" i="7"/>
  <c r="G63" i="6"/>
  <c r="F57" i="7" l="1"/>
  <c r="B59" i="7"/>
  <c r="K63" i="6"/>
  <c r="K112" i="6"/>
  <c r="I112" i="6"/>
  <c r="J112" i="6" s="1"/>
  <c r="I63" i="6"/>
  <c r="J63" i="6" s="1"/>
  <c r="B64" i="6"/>
  <c r="B113" i="6"/>
  <c r="G58" i="7"/>
  <c r="E58" i="7"/>
  <c r="G113" i="6"/>
  <c r="D58" i="7"/>
  <c r="G64" i="6"/>
  <c r="F58" i="7" l="1"/>
  <c r="B60" i="7"/>
  <c r="K113" i="6"/>
  <c r="K64" i="6"/>
  <c r="I64" i="6"/>
  <c r="J64" i="6" s="1"/>
  <c r="I113" i="6"/>
  <c r="J113" i="6" s="1"/>
  <c r="B114" i="6"/>
  <c r="B65" i="6"/>
  <c r="D59" i="7"/>
  <c r="E59" i="7"/>
  <c r="G65" i="6"/>
  <c r="G59" i="7"/>
  <c r="G114" i="6"/>
  <c r="F59" i="7" l="1"/>
  <c r="B61" i="7"/>
  <c r="K65" i="6"/>
  <c r="K114" i="6"/>
  <c r="I114" i="6"/>
  <c r="J114" i="6" s="1"/>
  <c r="I65" i="6"/>
  <c r="J65" i="6" s="1"/>
  <c r="B66" i="6"/>
  <c r="B115" i="6"/>
  <c r="G60" i="7"/>
  <c r="D60" i="7"/>
  <c r="G115" i="6"/>
  <c r="E60" i="7"/>
  <c r="G66" i="6"/>
  <c r="F60" i="7" l="1"/>
  <c r="B62" i="7"/>
  <c r="K115" i="6"/>
  <c r="K66" i="6"/>
  <c r="I66" i="6"/>
  <c r="J66" i="6" s="1"/>
  <c r="I115" i="6"/>
  <c r="J115" i="6" s="1"/>
  <c r="B116" i="6"/>
  <c r="B67" i="6"/>
  <c r="D61" i="7"/>
  <c r="G61" i="7"/>
  <c r="G67" i="6"/>
  <c r="E61" i="7"/>
  <c r="G116" i="6"/>
  <c r="F61" i="7" l="1"/>
  <c r="B63" i="7"/>
  <c r="K67" i="6"/>
  <c r="K116" i="6"/>
  <c r="I116" i="6"/>
  <c r="J116" i="6" s="1"/>
  <c r="I67" i="6"/>
  <c r="J67" i="6" s="1"/>
  <c r="B68" i="6"/>
  <c r="B117" i="6"/>
  <c r="D62" i="7"/>
  <c r="G68" i="6"/>
  <c r="E62" i="7"/>
  <c r="G62" i="7"/>
  <c r="G117" i="6"/>
  <c r="F62" i="7" l="1"/>
  <c r="B64" i="7"/>
  <c r="K117" i="6"/>
  <c r="K68" i="6"/>
  <c r="I68" i="6"/>
  <c r="J68" i="6" s="1"/>
  <c r="I117" i="6"/>
  <c r="J117" i="6" s="1"/>
  <c r="B118" i="6"/>
  <c r="B69" i="6"/>
  <c r="D63" i="7"/>
  <c r="G63" i="7"/>
  <c r="G69" i="6"/>
  <c r="E63" i="7"/>
  <c r="G118" i="6"/>
  <c r="F63" i="7" l="1"/>
  <c r="B65" i="7"/>
  <c r="K118" i="6"/>
  <c r="K69" i="6"/>
  <c r="I118" i="6"/>
  <c r="J118" i="6" s="1"/>
  <c r="I69" i="6"/>
  <c r="J69" i="6" s="1"/>
  <c r="B70" i="6"/>
  <c r="B119" i="6"/>
  <c r="E64" i="7"/>
  <c r="G119" i="6"/>
  <c r="D64" i="7"/>
  <c r="G64" i="7"/>
  <c r="G70" i="6"/>
  <c r="F64" i="7" l="1"/>
  <c r="B66" i="7"/>
  <c r="K119" i="6"/>
  <c r="K70" i="6"/>
  <c r="I70" i="6"/>
  <c r="J70" i="6" s="1"/>
  <c r="I119" i="6"/>
  <c r="J119" i="6" s="1"/>
  <c r="B120" i="6"/>
  <c r="B71" i="6"/>
  <c r="G65" i="7"/>
  <c r="D65" i="7"/>
  <c r="G71" i="6"/>
  <c r="E65" i="7"/>
  <c r="G120" i="6"/>
  <c r="F65" i="7" l="1"/>
  <c r="B67" i="7"/>
  <c r="K71" i="6"/>
  <c r="K120" i="6"/>
  <c r="I120" i="6"/>
  <c r="J120" i="6" s="1"/>
  <c r="I71" i="6"/>
  <c r="J71" i="6" s="1"/>
  <c r="B72" i="6"/>
  <c r="B121" i="6"/>
  <c r="D66" i="7"/>
  <c r="G72" i="6"/>
  <c r="G66" i="7"/>
  <c r="E66" i="7"/>
  <c r="G121" i="6"/>
  <c r="F66" i="7" l="1"/>
  <c r="B68" i="7"/>
  <c r="K72" i="6"/>
  <c r="K121" i="6"/>
  <c r="I72" i="6"/>
  <c r="J72" i="6" s="1"/>
  <c r="I121" i="6"/>
  <c r="J121" i="6" s="1"/>
  <c r="B122" i="6"/>
  <c r="B73" i="6"/>
  <c r="E67" i="7"/>
  <c r="D67" i="7"/>
  <c r="G122" i="6"/>
  <c r="G67" i="7"/>
  <c r="G73" i="6"/>
  <c r="F67" i="7" l="1"/>
  <c r="B69" i="7"/>
  <c r="K122" i="6"/>
  <c r="K73" i="6"/>
  <c r="I122" i="6"/>
  <c r="J122" i="6" s="1"/>
  <c r="I73" i="6"/>
  <c r="J73" i="6" s="1"/>
  <c r="B74" i="6"/>
  <c r="B123" i="6"/>
  <c r="E68" i="7"/>
  <c r="D68" i="7"/>
  <c r="G74" i="6"/>
  <c r="G68" i="7"/>
  <c r="G123" i="6"/>
  <c r="F68" i="7" l="1"/>
  <c r="B70" i="7"/>
  <c r="K123" i="6"/>
  <c r="K74" i="6"/>
  <c r="I74" i="6"/>
  <c r="J74" i="6" s="1"/>
  <c r="I123" i="6"/>
  <c r="J123" i="6" s="1"/>
  <c r="B124" i="6"/>
  <c r="B75" i="6"/>
  <c r="D69" i="7"/>
  <c r="E69" i="7"/>
  <c r="G124" i="6"/>
  <c r="G69" i="7"/>
  <c r="G75" i="6"/>
  <c r="F69" i="7" l="1"/>
  <c r="B71" i="7"/>
  <c r="K75" i="6"/>
  <c r="K124" i="6"/>
  <c r="I124" i="6"/>
  <c r="J124" i="6" s="1"/>
  <c r="I75" i="6"/>
  <c r="J75" i="6" s="1"/>
  <c r="B76" i="6"/>
  <c r="B125" i="6"/>
  <c r="G70" i="7"/>
  <c r="G125" i="6"/>
  <c r="D70" i="7"/>
  <c r="E70" i="7"/>
  <c r="G76" i="6"/>
  <c r="F70" i="7" l="1"/>
  <c r="B72" i="7"/>
  <c r="K125" i="6"/>
  <c r="K76" i="6"/>
  <c r="I76" i="6"/>
  <c r="I125" i="6"/>
  <c r="J125" i="6" s="1"/>
  <c r="B126" i="6"/>
  <c r="G71" i="7"/>
  <c r="E71" i="7"/>
  <c r="G126" i="6"/>
  <c r="D71" i="7"/>
  <c r="F71" i="7" l="1"/>
  <c r="B73" i="7"/>
  <c r="K126" i="6"/>
  <c r="J76" i="6"/>
  <c r="G24" i="6"/>
  <c r="I126" i="6"/>
  <c r="G15" i="6" s="1"/>
  <c r="G19" i="6"/>
  <c r="E72" i="7"/>
  <c r="D72" i="7"/>
  <c r="G72" i="7"/>
  <c r="F72" i="7" l="1"/>
  <c r="B74" i="7"/>
  <c r="J126" i="6"/>
  <c r="G23" i="6"/>
  <c r="Z144" i="6"/>
  <c r="Z143" i="6"/>
  <c r="Z142" i="6"/>
  <c r="Z141" i="6"/>
  <c r="Z140" i="6"/>
  <c r="Z139" i="6"/>
  <c r="Z138" i="6"/>
  <c r="Z137" i="6"/>
  <c r="Z136" i="6"/>
  <c r="Z135" i="6"/>
  <c r="Z134" i="6"/>
  <c r="Z133" i="6"/>
  <c r="Z132" i="6"/>
  <c r="Z131" i="6"/>
  <c r="Z130" i="6"/>
  <c r="Z129" i="6"/>
  <c r="Z128" i="6"/>
  <c r="Z127" i="6"/>
  <c r="Z77" i="6"/>
  <c r="Z27" i="6"/>
  <c r="Z78" i="6"/>
  <c r="Z29" i="6"/>
  <c r="Z28" i="6"/>
  <c r="Z79" i="6"/>
  <c r="Z30" i="6"/>
  <c r="Z80" i="6"/>
  <c r="Z31" i="6"/>
  <c r="Z81" i="6"/>
  <c r="Z32" i="6"/>
  <c r="Z33" i="6"/>
  <c r="Z82" i="6"/>
  <c r="Z34" i="6"/>
  <c r="Z83" i="6"/>
  <c r="Z84" i="6"/>
  <c r="Z35" i="6"/>
  <c r="Z36" i="6"/>
  <c r="Z85" i="6"/>
  <c r="Z37" i="6"/>
  <c r="Z86" i="6"/>
  <c r="Z87" i="6"/>
  <c r="Z38" i="6"/>
  <c r="Z39" i="6"/>
  <c r="Z88" i="6"/>
  <c r="Z89" i="6"/>
  <c r="Z40" i="6"/>
  <c r="Z41" i="6"/>
  <c r="Z90" i="6"/>
  <c r="Z91" i="6"/>
  <c r="Z42" i="6"/>
  <c r="Z43" i="6"/>
  <c r="Z92" i="6"/>
  <c r="Z93" i="6"/>
  <c r="Z44" i="6"/>
  <c r="Z45" i="6"/>
  <c r="Z94" i="6"/>
  <c r="Z95" i="6"/>
  <c r="Z46" i="6"/>
  <c r="Z47" i="6"/>
  <c r="Z96" i="6"/>
  <c r="Z97" i="6"/>
  <c r="Z48" i="6"/>
  <c r="Z49" i="6"/>
  <c r="Z98" i="6"/>
  <c r="Z99" i="6"/>
  <c r="Z50" i="6"/>
  <c r="Z51" i="6"/>
  <c r="Z100" i="6"/>
  <c r="Z101" i="6"/>
  <c r="Z52" i="6"/>
  <c r="Z53" i="6"/>
  <c r="Z102" i="6"/>
  <c r="Z103" i="6"/>
  <c r="Z54" i="6"/>
  <c r="Z55" i="6"/>
  <c r="Z104" i="6"/>
  <c r="Z105" i="6"/>
  <c r="Z56" i="6"/>
  <c r="Z57" i="6"/>
  <c r="Z106" i="6"/>
  <c r="Z107" i="6"/>
  <c r="Z58" i="6"/>
  <c r="Z59" i="6"/>
  <c r="Z108" i="6"/>
  <c r="Z109" i="6"/>
  <c r="Z60" i="6"/>
  <c r="Z61" i="6"/>
  <c r="Z110" i="6"/>
  <c r="Z111" i="6"/>
  <c r="Z62" i="6"/>
  <c r="Z63" i="6"/>
  <c r="Z112" i="6"/>
  <c r="Z113" i="6"/>
  <c r="Z64" i="6"/>
  <c r="Z65" i="6"/>
  <c r="Z114" i="6"/>
  <c r="Z115" i="6"/>
  <c r="Z66" i="6"/>
  <c r="Z67" i="6"/>
  <c r="Z116" i="6"/>
  <c r="Z117" i="6"/>
  <c r="Z68" i="6"/>
  <c r="Z69" i="6"/>
  <c r="Z118" i="6"/>
  <c r="Z70" i="6"/>
  <c r="Z119" i="6"/>
  <c r="Z71" i="6"/>
  <c r="Z120" i="6"/>
  <c r="Z121" i="6"/>
  <c r="Z72" i="6"/>
  <c r="Z73" i="6"/>
  <c r="Z122" i="6"/>
  <c r="Z123" i="6"/>
  <c r="Z74" i="6"/>
  <c r="Z75" i="6"/>
  <c r="Z124" i="6"/>
  <c r="Z125" i="6"/>
  <c r="Z76" i="6"/>
  <c r="G11" i="6"/>
  <c r="G13" i="6" s="1"/>
  <c r="G16" i="6"/>
  <c r="G22" i="6" s="1"/>
  <c r="Z126" i="6"/>
  <c r="G73" i="7"/>
  <c r="E73" i="7"/>
  <c r="D73" i="7"/>
  <c r="F73" i="7" l="1"/>
  <c r="B75" i="7"/>
  <c r="Z24" i="6"/>
  <c r="M28" i="6" s="1"/>
  <c r="N28" i="6" s="1"/>
  <c r="D74" i="7"/>
  <c r="G74" i="7"/>
  <c r="E74" i="7"/>
  <c r="F74" i="7" l="1"/>
  <c r="M146" i="6"/>
  <c r="N146" i="6" s="1"/>
  <c r="O146" i="6" s="1"/>
  <c r="R146" i="6" s="1"/>
  <c r="B76" i="7"/>
  <c r="M145" i="6"/>
  <c r="N145" i="6" s="1"/>
  <c r="O145" i="6"/>
  <c r="R145" i="6" s="1"/>
  <c r="P145" i="6"/>
  <c r="Q145" i="6" s="1"/>
  <c r="O28" i="6"/>
  <c r="R28" i="6" s="1"/>
  <c r="P28" i="6"/>
  <c r="Q28" i="6" s="1"/>
  <c r="M111" i="6"/>
  <c r="N111" i="6" s="1"/>
  <c r="M99" i="6"/>
  <c r="N99" i="6" s="1"/>
  <c r="M107" i="6"/>
  <c r="N107" i="6" s="1"/>
  <c r="M31" i="6"/>
  <c r="N31" i="6" s="1"/>
  <c r="M84" i="6"/>
  <c r="N84" i="6" s="1"/>
  <c r="M36" i="6"/>
  <c r="N36" i="6" s="1"/>
  <c r="M89" i="6"/>
  <c r="N89" i="6" s="1"/>
  <c r="M142" i="6"/>
  <c r="N142" i="6" s="1"/>
  <c r="M119" i="6"/>
  <c r="N119" i="6" s="1"/>
  <c r="M115" i="6"/>
  <c r="N115" i="6" s="1"/>
  <c r="M71" i="6"/>
  <c r="N71" i="6" s="1"/>
  <c r="M83" i="6"/>
  <c r="N83" i="6" s="1"/>
  <c r="M39" i="6"/>
  <c r="N39" i="6" s="1"/>
  <c r="M124" i="6"/>
  <c r="N124" i="6" s="1"/>
  <c r="M92" i="6"/>
  <c r="N92" i="6" s="1"/>
  <c r="M60" i="6"/>
  <c r="N60" i="6" s="1"/>
  <c r="M27" i="6"/>
  <c r="N27" i="6" s="1"/>
  <c r="M113" i="6"/>
  <c r="N113" i="6" s="1"/>
  <c r="M81" i="6"/>
  <c r="N81" i="6" s="1"/>
  <c r="M49" i="6"/>
  <c r="N49" i="6" s="1"/>
  <c r="M134" i="6"/>
  <c r="N134" i="6" s="1"/>
  <c r="M102" i="6"/>
  <c r="N102" i="6" s="1"/>
  <c r="M70" i="6"/>
  <c r="N70" i="6" s="1"/>
  <c r="M51" i="6"/>
  <c r="N51" i="6" s="1"/>
  <c r="M104" i="6"/>
  <c r="N104" i="6" s="1"/>
  <c r="M40" i="6"/>
  <c r="N40" i="6" s="1"/>
  <c r="M128" i="6"/>
  <c r="N128" i="6" s="1"/>
  <c r="M125" i="6"/>
  <c r="N125" i="6" s="1"/>
  <c r="M59" i="6"/>
  <c r="N59" i="6" s="1"/>
  <c r="M85" i="6"/>
  <c r="N85" i="6" s="1"/>
  <c r="M130" i="6"/>
  <c r="N130" i="6" s="1"/>
  <c r="M66" i="6"/>
  <c r="N66" i="6" s="1"/>
  <c r="M30" i="6"/>
  <c r="N30" i="6" s="1"/>
  <c r="M101" i="6"/>
  <c r="N101" i="6" s="1"/>
  <c r="M138" i="6"/>
  <c r="N138" i="6" s="1"/>
  <c r="M74" i="6"/>
  <c r="N74" i="6" s="1"/>
  <c r="M34" i="6"/>
  <c r="N34" i="6" s="1"/>
  <c r="M95" i="6"/>
  <c r="N95" i="6" s="1"/>
  <c r="M67" i="6"/>
  <c r="N67" i="6" s="1"/>
  <c r="M100" i="6"/>
  <c r="N100" i="6" s="1"/>
  <c r="M137" i="6"/>
  <c r="N137" i="6" s="1"/>
  <c r="M73" i="6"/>
  <c r="N73" i="6" s="1"/>
  <c r="M126" i="6"/>
  <c r="N126" i="6" s="1"/>
  <c r="M94" i="6"/>
  <c r="N94" i="6" s="1"/>
  <c r="M62" i="6"/>
  <c r="N62" i="6" s="1"/>
  <c r="M35" i="6"/>
  <c r="N35" i="6" s="1"/>
  <c r="M88" i="6"/>
  <c r="N88" i="6" s="1"/>
  <c r="M141" i="6"/>
  <c r="N141" i="6" s="1"/>
  <c r="M96" i="6"/>
  <c r="N96" i="6" s="1"/>
  <c r="M109" i="6"/>
  <c r="N109" i="6" s="1"/>
  <c r="M112" i="6"/>
  <c r="N112" i="6" s="1"/>
  <c r="M61" i="6"/>
  <c r="N61" i="6" s="1"/>
  <c r="M114" i="6"/>
  <c r="N114" i="6" s="1"/>
  <c r="M54" i="6"/>
  <c r="N54" i="6" s="1"/>
  <c r="M144" i="6"/>
  <c r="N144" i="6" s="1"/>
  <c r="M69" i="6"/>
  <c r="N69" i="6" s="1"/>
  <c r="M122" i="6"/>
  <c r="N122" i="6" s="1"/>
  <c r="M58" i="6"/>
  <c r="N58" i="6" s="1"/>
  <c r="M143" i="6"/>
  <c r="N143" i="6" s="1"/>
  <c r="M131" i="6"/>
  <c r="N131" i="6" s="1"/>
  <c r="M63" i="6"/>
  <c r="N63" i="6" s="1"/>
  <c r="M47" i="6"/>
  <c r="N47" i="6" s="1"/>
  <c r="M116" i="6"/>
  <c r="N116" i="6" s="1"/>
  <c r="M52" i="6"/>
  <c r="N52" i="6" s="1"/>
  <c r="M121" i="6"/>
  <c r="N121" i="6" s="1"/>
  <c r="M57" i="6"/>
  <c r="N57" i="6" s="1"/>
  <c r="M135" i="6"/>
  <c r="N135" i="6" s="1"/>
  <c r="M103" i="6"/>
  <c r="N103" i="6" s="1"/>
  <c r="M87" i="6"/>
  <c r="N87" i="6" s="1"/>
  <c r="M139" i="6"/>
  <c r="N139" i="6" s="1"/>
  <c r="M55" i="6"/>
  <c r="N55" i="6" s="1"/>
  <c r="M140" i="6"/>
  <c r="N140" i="6" s="1"/>
  <c r="M108" i="6"/>
  <c r="N108" i="6" s="1"/>
  <c r="M76" i="6"/>
  <c r="N76" i="6" s="1"/>
  <c r="M44" i="6"/>
  <c r="N44" i="6" s="1"/>
  <c r="M129" i="6"/>
  <c r="N129" i="6" s="1"/>
  <c r="M97" i="6"/>
  <c r="N97" i="6" s="1"/>
  <c r="M65" i="6"/>
  <c r="N65" i="6" s="1"/>
  <c r="M33" i="6"/>
  <c r="N33" i="6" s="1"/>
  <c r="M118" i="6"/>
  <c r="N118" i="6" s="1"/>
  <c r="M86" i="6"/>
  <c r="N86" i="6" s="1"/>
  <c r="M123" i="6"/>
  <c r="N123" i="6" s="1"/>
  <c r="M136" i="6"/>
  <c r="N136" i="6" s="1"/>
  <c r="M72" i="6"/>
  <c r="N72" i="6" s="1"/>
  <c r="M91" i="6"/>
  <c r="N91" i="6" s="1"/>
  <c r="M64" i="6"/>
  <c r="N64" i="6" s="1"/>
  <c r="M93" i="6"/>
  <c r="N93" i="6" s="1"/>
  <c r="M48" i="6"/>
  <c r="N48" i="6" s="1"/>
  <c r="M45" i="6"/>
  <c r="N45" i="6" s="1"/>
  <c r="M98" i="6"/>
  <c r="N98" i="6" s="1"/>
  <c r="M46" i="6"/>
  <c r="N46" i="6" s="1"/>
  <c r="M80" i="6"/>
  <c r="N80" i="6" s="1"/>
  <c r="M53" i="6"/>
  <c r="N53" i="6" s="1"/>
  <c r="M106" i="6"/>
  <c r="N106" i="6" s="1"/>
  <c r="M50" i="6"/>
  <c r="N50" i="6" s="1"/>
  <c r="M127" i="6"/>
  <c r="N127" i="6" s="1"/>
  <c r="M79" i="6"/>
  <c r="N79" i="6" s="1"/>
  <c r="M132" i="6"/>
  <c r="N132" i="6" s="1"/>
  <c r="M68" i="6"/>
  <c r="N68" i="6" s="1"/>
  <c r="M105" i="6"/>
  <c r="N105" i="6" s="1"/>
  <c r="M41" i="6"/>
  <c r="N41" i="6" s="1"/>
  <c r="M110" i="6"/>
  <c r="N110" i="6" s="1"/>
  <c r="M78" i="6"/>
  <c r="N78" i="6" s="1"/>
  <c r="M75" i="6"/>
  <c r="N75" i="6" s="1"/>
  <c r="M120" i="6"/>
  <c r="N120" i="6" s="1"/>
  <c r="M56" i="6"/>
  <c r="N56" i="6" s="1"/>
  <c r="M43" i="6"/>
  <c r="N43" i="6" s="1"/>
  <c r="M32" i="6"/>
  <c r="N32" i="6" s="1"/>
  <c r="M77" i="6"/>
  <c r="N77" i="6" s="1"/>
  <c r="M117" i="6"/>
  <c r="N117" i="6" s="1"/>
  <c r="M29" i="6"/>
  <c r="N29" i="6" s="1"/>
  <c r="M82" i="6"/>
  <c r="N82" i="6" s="1"/>
  <c r="M38" i="6"/>
  <c r="N38" i="6" s="1"/>
  <c r="M133" i="6"/>
  <c r="N133" i="6" s="1"/>
  <c r="M37" i="6"/>
  <c r="N37" i="6" s="1"/>
  <c r="M90" i="6"/>
  <c r="N90" i="6" s="1"/>
  <c r="M42" i="6"/>
  <c r="N42" i="6" s="1"/>
  <c r="G75" i="7"/>
  <c r="E75" i="7"/>
  <c r="D75" i="7"/>
  <c r="P146" i="6" l="1"/>
  <c r="Q146" i="6" s="1"/>
  <c r="F75" i="7"/>
  <c r="B77" i="7"/>
  <c r="P133" i="6"/>
  <c r="Q133" i="6" s="1"/>
  <c r="O133" i="6"/>
  <c r="R133" i="6" s="1"/>
  <c r="O82" i="6"/>
  <c r="R82" i="6" s="1"/>
  <c r="P82" i="6"/>
  <c r="Q82" i="6" s="1"/>
  <c r="P117" i="6"/>
  <c r="Q117" i="6" s="1"/>
  <c r="O117" i="6"/>
  <c r="R117" i="6" s="1"/>
  <c r="O32" i="6"/>
  <c r="R32" i="6" s="1"/>
  <c r="P32" i="6"/>
  <c r="Q32" i="6" s="1"/>
  <c r="O56" i="6"/>
  <c r="R56" i="6" s="1"/>
  <c r="P56" i="6"/>
  <c r="Q56" i="6" s="1"/>
  <c r="P75" i="6"/>
  <c r="Q75" i="6" s="1"/>
  <c r="O75" i="6"/>
  <c r="R75" i="6" s="1"/>
  <c r="O110" i="6"/>
  <c r="R110" i="6" s="1"/>
  <c r="P110" i="6"/>
  <c r="Q110" i="6" s="1"/>
  <c r="P105" i="6"/>
  <c r="Q105" i="6" s="1"/>
  <c r="O105" i="6"/>
  <c r="R105" i="6" s="1"/>
  <c r="O132" i="6"/>
  <c r="R132" i="6" s="1"/>
  <c r="P132" i="6"/>
  <c r="Q132" i="6" s="1"/>
  <c r="P127" i="6"/>
  <c r="Q127" i="6" s="1"/>
  <c r="O127" i="6"/>
  <c r="R127" i="6" s="1"/>
  <c r="O106" i="6"/>
  <c r="R106" i="6" s="1"/>
  <c r="P106" i="6"/>
  <c r="Q106" i="6" s="1"/>
  <c r="O80" i="6"/>
  <c r="R80" i="6" s="1"/>
  <c r="P80" i="6"/>
  <c r="Q80" i="6" s="1"/>
  <c r="O98" i="6"/>
  <c r="R98" i="6" s="1"/>
  <c r="P98" i="6"/>
  <c r="Q98" i="6" s="1"/>
  <c r="O48" i="6"/>
  <c r="R48" i="6" s="1"/>
  <c r="P48" i="6"/>
  <c r="Q48" i="6" s="1"/>
  <c r="O64" i="6"/>
  <c r="R64" i="6" s="1"/>
  <c r="P64" i="6"/>
  <c r="Q64" i="6" s="1"/>
  <c r="O72" i="6"/>
  <c r="R72" i="6" s="1"/>
  <c r="P72" i="6"/>
  <c r="Q72" i="6" s="1"/>
  <c r="P123" i="6"/>
  <c r="Q123" i="6" s="1"/>
  <c r="O123" i="6"/>
  <c r="R123" i="6" s="1"/>
  <c r="O118" i="6"/>
  <c r="R118" i="6" s="1"/>
  <c r="P118" i="6"/>
  <c r="Q118" i="6" s="1"/>
  <c r="P65" i="6"/>
  <c r="Q65" i="6" s="1"/>
  <c r="O65" i="6"/>
  <c r="R65" i="6" s="1"/>
  <c r="P129" i="6"/>
  <c r="Q129" i="6" s="1"/>
  <c r="O129" i="6"/>
  <c r="R129" i="6" s="1"/>
  <c r="O76" i="6"/>
  <c r="R76" i="6" s="1"/>
  <c r="P76" i="6"/>
  <c r="Q76" i="6" s="1"/>
  <c r="O140" i="6"/>
  <c r="R140" i="6" s="1"/>
  <c r="P140" i="6"/>
  <c r="Q140" i="6" s="1"/>
  <c r="P139" i="6"/>
  <c r="Q139" i="6" s="1"/>
  <c r="O139" i="6"/>
  <c r="R139" i="6" s="1"/>
  <c r="P103" i="6"/>
  <c r="Q103" i="6" s="1"/>
  <c r="O103" i="6"/>
  <c r="R103" i="6" s="1"/>
  <c r="P57" i="6"/>
  <c r="Q57" i="6" s="1"/>
  <c r="O57" i="6"/>
  <c r="R57" i="6" s="1"/>
  <c r="O52" i="6"/>
  <c r="R52" i="6" s="1"/>
  <c r="P52" i="6"/>
  <c r="Q52" i="6" s="1"/>
  <c r="P47" i="6"/>
  <c r="Q47" i="6" s="1"/>
  <c r="O47" i="6"/>
  <c r="R47" i="6" s="1"/>
  <c r="P131" i="6"/>
  <c r="Q131" i="6" s="1"/>
  <c r="O131" i="6"/>
  <c r="R131" i="6" s="1"/>
  <c r="O58" i="6"/>
  <c r="R58" i="6" s="1"/>
  <c r="P58" i="6"/>
  <c r="Q58" i="6" s="1"/>
  <c r="P69" i="6"/>
  <c r="Q69" i="6" s="1"/>
  <c r="O69" i="6"/>
  <c r="R69" i="6" s="1"/>
  <c r="O54" i="6"/>
  <c r="R54" i="6" s="1"/>
  <c r="P54" i="6"/>
  <c r="Q54" i="6" s="1"/>
  <c r="P61" i="6"/>
  <c r="Q61" i="6" s="1"/>
  <c r="O61" i="6"/>
  <c r="R61" i="6" s="1"/>
  <c r="P109" i="6"/>
  <c r="Q109" i="6" s="1"/>
  <c r="O109" i="6"/>
  <c r="R109" i="6" s="1"/>
  <c r="P141" i="6"/>
  <c r="Q141" i="6" s="1"/>
  <c r="O141" i="6"/>
  <c r="R141" i="6" s="1"/>
  <c r="O35" i="6"/>
  <c r="R35" i="6" s="1"/>
  <c r="P35" i="6"/>
  <c r="Q35" i="6" s="1"/>
  <c r="O94" i="6"/>
  <c r="R94" i="6" s="1"/>
  <c r="P94" i="6"/>
  <c r="Q94" i="6" s="1"/>
  <c r="P73" i="6"/>
  <c r="Q73" i="6" s="1"/>
  <c r="O73" i="6"/>
  <c r="R73" i="6" s="1"/>
  <c r="O100" i="6"/>
  <c r="R100" i="6" s="1"/>
  <c r="P100" i="6"/>
  <c r="Q100" i="6" s="1"/>
  <c r="P95" i="6"/>
  <c r="Q95" i="6" s="1"/>
  <c r="O95" i="6"/>
  <c r="R95" i="6" s="1"/>
  <c r="O74" i="6"/>
  <c r="R74" i="6" s="1"/>
  <c r="P74" i="6"/>
  <c r="Q74" i="6" s="1"/>
  <c r="P101" i="6"/>
  <c r="Q101" i="6" s="1"/>
  <c r="O101" i="6"/>
  <c r="R101" i="6" s="1"/>
  <c r="O66" i="6"/>
  <c r="R66" i="6" s="1"/>
  <c r="P66" i="6"/>
  <c r="Q66" i="6" s="1"/>
  <c r="P85" i="6"/>
  <c r="Q85" i="6" s="1"/>
  <c r="O85" i="6"/>
  <c r="R85" i="6" s="1"/>
  <c r="P125" i="6"/>
  <c r="Q125" i="6" s="1"/>
  <c r="O125" i="6"/>
  <c r="R125" i="6" s="1"/>
  <c r="O40" i="6"/>
  <c r="R40" i="6" s="1"/>
  <c r="P40" i="6"/>
  <c r="Q40" i="6" s="1"/>
  <c r="P51" i="6"/>
  <c r="Q51" i="6" s="1"/>
  <c r="O51" i="6"/>
  <c r="R51" i="6" s="1"/>
  <c r="O102" i="6"/>
  <c r="R102" i="6" s="1"/>
  <c r="P102" i="6"/>
  <c r="Q102" i="6" s="1"/>
  <c r="P49" i="6"/>
  <c r="Q49" i="6" s="1"/>
  <c r="O49" i="6"/>
  <c r="R49" i="6" s="1"/>
  <c r="P113" i="6"/>
  <c r="Q113" i="6" s="1"/>
  <c r="O113" i="6"/>
  <c r="R113" i="6" s="1"/>
  <c r="O60" i="6"/>
  <c r="R60" i="6" s="1"/>
  <c r="P60" i="6"/>
  <c r="Q60" i="6" s="1"/>
  <c r="O124" i="6"/>
  <c r="R124" i="6" s="1"/>
  <c r="P124" i="6"/>
  <c r="Q124" i="6" s="1"/>
  <c r="P83" i="6"/>
  <c r="Q83" i="6" s="1"/>
  <c r="O83" i="6"/>
  <c r="R83" i="6" s="1"/>
  <c r="P115" i="6"/>
  <c r="Q115" i="6" s="1"/>
  <c r="O115" i="6"/>
  <c r="R115" i="6" s="1"/>
  <c r="O142" i="6"/>
  <c r="R142" i="6" s="1"/>
  <c r="P142" i="6"/>
  <c r="Q142" i="6" s="1"/>
  <c r="O36" i="6"/>
  <c r="R36" i="6" s="1"/>
  <c r="P36" i="6"/>
  <c r="Q36" i="6" s="1"/>
  <c r="P31" i="6"/>
  <c r="Q31" i="6" s="1"/>
  <c r="O31" i="6"/>
  <c r="R31" i="6" s="1"/>
  <c r="P99" i="6"/>
  <c r="Q99" i="6" s="1"/>
  <c r="O99" i="6"/>
  <c r="R99" i="6" s="1"/>
  <c r="O90" i="6"/>
  <c r="R90" i="6" s="1"/>
  <c r="P90" i="6"/>
  <c r="Q90" i="6" s="1"/>
  <c r="O42" i="6"/>
  <c r="R42" i="6" s="1"/>
  <c r="P42" i="6"/>
  <c r="Q42" i="6" s="1"/>
  <c r="P37" i="6"/>
  <c r="Q37" i="6" s="1"/>
  <c r="O37" i="6"/>
  <c r="R37" i="6" s="1"/>
  <c r="O38" i="6"/>
  <c r="R38" i="6" s="1"/>
  <c r="P38" i="6"/>
  <c r="Q38" i="6" s="1"/>
  <c r="P29" i="6"/>
  <c r="Q29" i="6" s="1"/>
  <c r="O29" i="6"/>
  <c r="R29" i="6" s="1"/>
  <c r="P77" i="6"/>
  <c r="Q77" i="6" s="1"/>
  <c r="O77" i="6"/>
  <c r="R77" i="6" s="1"/>
  <c r="P43" i="6"/>
  <c r="Q43" i="6" s="1"/>
  <c r="O43" i="6"/>
  <c r="R43" i="6" s="1"/>
  <c r="O120" i="6"/>
  <c r="R120" i="6" s="1"/>
  <c r="P120" i="6"/>
  <c r="Q120" i="6" s="1"/>
  <c r="O78" i="6"/>
  <c r="R78" i="6" s="1"/>
  <c r="P78" i="6"/>
  <c r="Q78" i="6" s="1"/>
  <c r="P41" i="6"/>
  <c r="Q41" i="6" s="1"/>
  <c r="O41" i="6"/>
  <c r="R41" i="6" s="1"/>
  <c r="O68" i="6"/>
  <c r="R68" i="6" s="1"/>
  <c r="P68" i="6"/>
  <c r="Q68" i="6" s="1"/>
  <c r="P79" i="6"/>
  <c r="Q79" i="6" s="1"/>
  <c r="O79" i="6"/>
  <c r="R79" i="6" s="1"/>
  <c r="O50" i="6"/>
  <c r="R50" i="6" s="1"/>
  <c r="P50" i="6"/>
  <c r="Q50" i="6" s="1"/>
  <c r="P53" i="6"/>
  <c r="Q53" i="6" s="1"/>
  <c r="O53" i="6"/>
  <c r="R53" i="6" s="1"/>
  <c r="O46" i="6"/>
  <c r="R46" i="6" s="1"/>
  <c r="P46" i="6"/>
  <c r="Q46" i="6" s="1"/>
  <c r="P45" i="6"/>
  <c r="Q45" i="6" s="1"/>
  <c r="O45" i="6"/>
  <c r="R45" i="6" s="1"/>
  <c r="P93" i="6"/>
  <c r="Q93" i="6" s="1"/>
  <c r="O93" i="6"/>
  <c r="R93" i="6" s="1"/>
  <c r="P91" i="6"/>
  <c r="Q91" i="6" s="1"/>
  <c r="O91" i="6"/>
  <c r="R91" i="6" s="1"/>
  <c r="O136" i="6"/>
  <c r="R136" i="6" s="1"/>
  <c r="P136" i="6"/>
  <c r="Q136" i="6" s="1"/>
  <c r="O86" i="6"/>
  <c r="R86" i="6" s="1"/>
  <c r="P86" i="6"/>
  <c r="Q86" i="6" s="1"/>
  <c r="P33" i="6"/>
  <c r="Q33" i="6" s="1"/>
  <c r="O33" i="6"/>
  <c r="R33" i="6" s="1"/>
  <c r="P97" i="6"/>
  <c r="Q97" i="6" s="1"/>
  <c r="O97" i="6"/>
  <c r="R97" i="6" s="1"/>
  <c r="O44" i="6"/>
  <c r="R44" i="6" s="1"/>
  <c r="P44" i="6"/>
  <c r="Q44" i="6" s="1"/>
  <c r="O108" i="6"/>
  <c r="R108" i="6" s="1"/>
  <c r="P108" i="6"/>
  <c r="Q108" i="6" s="1"/>
  <c r="P55" i="6"/>
  <c r="Q55" i="6" s="1"/>
  <c r="O55" i="6"/>
  <c r="R55" i="6" s="1"/>
  <c r="P87" i="6"/>
  <c r="Q87" i="6" s="1"/>
  <c r="O87" i="6"/>
  <c r="R87" i="6" s="1"/>
  <c r="P135" i="6"/>
  <c r="Q135" i="6" s="1"/>
  <c r="O135" i="6"/>
  <c r="R135" i="6" s="1"/>
  <c r="P121" i="6"/>
  <c r="Q121" i="6" s="1"/>
  <c r="O121" i="6"/>
  <c r="R121" i="6" s="1"/>
  <c r="O116" i="6"/>
  <c r="R116" i="6" s="1"/>
  <c r="P116" i="6"/>
  <c r="Q116" i="6" s="1"/>
  <c r="P63" i="6"/>
  <c r="Q63" i="6" s="1"/>
  <c r="O63" i="6"/>
  <c r="R63" i="6" s="1"/>
  <c r="O143" i="6"/>
  <c r="R143" i="6" s="1"/>
  <c r="P143" i="6"/>
  <c r="Q143" i="6" s="1"/>
  <c r="O122" i="6"/>
  <c r="R122" i="6" s="1"/>
  <c r="P122" i="6"/>
  <c r="Q122" i="6" s="1"/>
  <c r="O144" i="6"/>
  <c r="R144" i="6" s="1"/>
  <c r="P144" i="6"/>
  <c r="Q144" i="6" s="1"/>
  <c r="O114" i="6"/>
  <c r="R114" i="6" s="1"/>
  <c r="P114" i="6"/>
  <c r="Q114" i="6" s="1"/>
  <c r="O112" i="6"/>
  <c r="R112" i="6" s="1"/>
  <c r="P112" i="6"/>
  <c r="Q112" i="6" s="1"/>
  <c r="O96" i="6"/>
  <c r="R96" i="6" s="1"/>
  <c r="P96" i="6"/>
  <c r="Q96" i="6" s="1"/>
  <c r="O88" i="6"/>
  <c r="R88" i="6" s="1"/>
  <c r="P88" i="6"/>
  <c r="Q88" i="6" s="1"/>
  <c r="O62" i="6"/>
  <c r="R62" i="6" s="1"/>
  <c r="P62" i="6"/>
  <c r="Q62" i="6" s="1"/>
  <c r="P126" i="6"/>
  <c r="Q126" i="6" s="1"/>
  <c r="O126" i="6"/>
  <c r="R126" i="6" s="1"/>
  <c r="P137" i="6"/>
  <c r="Q137" i="6" s="1"/>
  <c r="O137" i="6"/>
  <c r="R137" i="6" s="1"/>
  <c r="P67" i="6"/>
  <c r="Q67" i="6" s="1"/>
  <c r="O67" i="6"/>
  <c r="R67" i="6" s="1"/>
  <c r="O34" i="6"/>
  <c r="R34" i="6" s="1"/>
  <c r="P34" i="6"/>
  <c r="Q34" i="6" s="1"/>
  <c r="O138" i="6"/>
  <c r="R138" i="6" s="1"/>
  <c r="P138" i="6"/>
  <c r="Q138" i="6" s="1"/>
  <c r="O30" i="6"/>
  <c r="R30" i="6" s="1"/>
  <c r="P30" i="6"/>
  <c r="Q30" i="6" s="1"/>
  <c r="O130" i="6"/>
  <c r="R130" i="6" s="1"/>
  <c r="P130" i="6"/>
  <c r="Q130" i="6" s="1"/>
  <c r="P59" i="6"/>
  <c r="Q59" i="6" s="1"/>
  <c r="O59" i="6"/>
  <c r="R59" i="6" s="1"/>
  <c r="O128" i="6"/>
  <c r="R128" i="6" s="1"/>
  <c r="P128" i="6"/>
  <c r="Q128" i="6" s="1"/>
  <c r="O104" i="6"/>
  <c r="R104" i="6" s="1"/>
  <c r="P104" i="6"/>
  <c r="Q104" i="6" s="1"/>
  <c r="O70" i="6"/>
  <c r="R70" i="6" s="1"/>
  <c r="P70" i="6"/>
  <c r="Q70" i="6" s="1"/>
  <c r="O134" i="6"/>
  <c r="R134" i="6" s="1"/>
  <c r="P134" i="6"/>
  <c r="Q134" i="6" s="1"/>
  <c r="P81" i="6"/>
  <c r="Q81" i="6" s="1"/>
  <c r="O81" i="6"/>
  <c r="R81" i="6" s="1"/>
  <c r="P27" i="6"/>
  <c r="Q27" i="6" s="1"/>
  <c r="O27" i="6"/>
  <c r="R27" i="6" s="1"/>
  <c r="O92" i="6"/>
  <c r="R92" i="6" s="1"/>
  <c r="P92" i="6"/>
  <c r="Q92" i="6" s="1"/>
  <c r="P39" i="6"/>
  <c r="Q39" i="6" s="1"/>
  <c r="O39" i="6"/>
  <c r="R39" i="6" s="1"/>
  <c r="P71" i="6"/>
  <c r="Q71" i="6" s="1"/>
  <c r="O71" i="6"/>
  <c r="R71" i="6" s="1"/>
  <c r="P119" i="6"/>
  <c r="Q119" i="6" s="1"/>
  <c r="O119" i="6"/>
  <c r="R119" i="6" s="1"/>
  <c r="P89" i="6"/>
  <c r="Q89" i="6" s="1"/>
  <c r="O89" i="6"/>
  <c r="R89" i="6" s="1"/>
  <c r="O84" i="6"/>
  <c r="R84" i="6" s="1"/>
  <c r="P84" i="6"/>
  <c r="Q84" i="6" s="1"/>
  <c r="P107" i="6"/>
  <c r="Q107" i="6" s="1"/>
  <c r="O107" i="6"/>
  <c r="R107" i="6" s="1"/>
  <c r="P111" i="6"/>
  <c r="Q111" i="6" s="1"/>
  <c r="O111" i="6"/>
  <c r="R111" i="6" s="1"/>
  <c r="G76" i="7"/>
  <c r="E76" i="7"/>
  <c r="D76" i="7"/>
  <c r="F76" i="7" l="1"/>
  <c r="B78" i="7"/>
  <c r="G77" i="7"/>
  <c r="E77" i="7"/>
  <c r="D77" i="7"/>
  <c r="F77" i="7" l="1"/>
  <c r="B79" i="7"/>
  <c r="E78" i="7"/>
  <c r="D78" i="7"/>
  <c r="G78" i="7"/>
  <c r="F78" i="7" l="1"/>
  <c r="B80" i="7"/>
  <c r="G79" i="7"/>
  <c r="D79" i="7"/>
  <c r="E79" i="7"/>
  <c r="F79" i="7" l="1"/>
  <c r="B81" i="7"/>
  <c r="E80" i="7"/>
  <c r="G80" i="7"/>
  <c r="D80" i="7"/>
  <c r="F80" i="7" l="1"/>
  <c r="B82" i="7"/>
  <c r="E81" i="7"/>
  <c r="G81" i="7"/>
  <c r="D81" i="7"/>
  <c r="F81" i="7" l="1"/>
  <c r="B83" i="7"/>
  <c r="E82" i="7"/>
  <c r="G82" i="7"/>
  <c r="D82" i="7"/>
  <c r="F82" i="7" l="1"/>
  <c r="B84" i="7"/>
  <c r="G83" i="7"/>
  <c r="D83" i="7"/>
  <c r="E83" i="7"/>
  <c r="F83" i="7" l="1"/>
  <c r="B85" i="7"/>
  <c r="D84" i="7"/>
  <c r="G84" i="7"/>
  <c r="E84" i="7"/>
  <c r="F84" i="7" l="1"/>
  <c r="B86" i="7"/>
  <c r="E85" i="7"/>
  <c r="G85" i="7"/>
  <c r="D85" i="7"/>
  <c r="F85" i="7" l="1"/>
  <c r="B87" i="7"/>
  <c r="G86" i="7"/>
  <c r="E86" i="7"/>
  <c r="D86" i="7"/>
  <c r="F86" i="7" l="1"/>
  <c r="B88" i="7"/>
  <c r="G87" i="7"/>
  <c r="E87" i="7"/>
  <c r="D87" i="7"/>
  <c r="F87" i="7" l="1"/>
  <c r="B89" i="7"/>
  <c r="G88" i="7"/>
  <c r="D88" i="7"/>
  <c r="E88" i="7"/>
  <c r="F88" i="7" l="1"/>
  <c r="B90" i="7"/>
  <c r="E89" i="7"/>
  <c r="D89" i="7"/>
  <c r="G89" i="7"/>
  <c r="F89" i="7" l="1"/>
  <c r="B91" i="7"/>
  <c r="G90" i="7"/>
  <c r="E90" i="7"/>
  <c r="D90" i="7"/>
  <c r="F90" i="7" l="1"/>
  <c r="B92" i="7"/>
  <c r="E91" i="7"/>
  <c r="D91" i="7"/>
  <c r="G91" i="7"/>
  <c r="F91" i="7" l="1"/>
  <c r="B93" i="7"/>
  <c r="G92" i="7"/>
  <c r="E92" i="7"/>
  <c r="D92" i="7"/>
  <c r="F92" i="7" l="1"/>
  <c r="B94" i="7"/>
  <c r="E93" i="7"/>
  <c r="G93" i="7"/>
  <c r="D93" i="7"/>
  <c r="F93" i="7" l="1"/>
  <c r="B95" i="7"/>
  <c r="E94" i="7"/>
  <c r="D94" i="7"/>
  <c r="G94" i="7"/>
  <c r="F94" i="7" l="1"/>
  <c r="B96" i="7"/>
  <c r="G95" i="7"/>
  <c r="D95" i="7"/>
  <c r="E95" i="7"/>
  <c r="F95" i="7" l="1"/>
  <c r="B97" i="7"/>
  <c r="D96" i="7"/>
  <c r="E96" i="7"/>
  <c r="G96" i="7"/>
  <c r="F96" i="7" l="1"/>
  <c r="B98" i="7"/>
  <c r="E97" i="7"/>
  <c r="D97" i="7"/>
  <c r="G97" i="7"/>
  <c r="F97" i="7" l="1"/>
  <c r="B99" i="7"/>
  <c r="E98" i="7"/>
  <c r="G98" i="7"/>
  <c r="D98" i="7"/>
  <c r="F98" i="7" l="1"/>
  <c r="B100" i="7"/>
  <c r="D99" i="7"/>
  <c r="G99" i="7"/>
  <c r="E99" i="7"/>
  <c r="F99" i="7" l="1"/>
  <c r="B101" i="7"/>
  <c r="E100" i="7"/>
  <c r="D100" i="7"/>
  <c r="G100" i="7"/>
  <c r="F100" i="7" l="1"/>
  <c r="B102" i="7"/>
  <c r="G101" i="7"/>
  <c r="D101" i="7"/>
  <c r="E101" i="7"/>
  <c r="F101" i="7" l="1"/>
  <c r="B103" i="7"/>
  <c r="G102" i="7"/>
  <c r="D102" i="7"/>
  <c r="E102" i="7"/>
  <c r="F102" i="7" l="1"/>
  <c r="B104" i="7"/>
  <c r="E103" i="7"/>
  <c r="D103" i="7"/>
  <c r="G103" i="7"/>
  <c r="F103" i="7" l="1"/>
  <c r="B105" i="7"/>
  <c r="D104" i="7"/>
  <c r="G104" i="7"/>
  <c r="E104" i="7"/>
  <c r="F104" i="7" l="1"/>
  <c r="B106" i="7"/>
  <c r="D105" i="7"/>
  <c r="G105" i="7"/>
  <c r="E105" i="7"/>
  <c r="F105" i="7" l="1"/>
  <c r="B107" i="7"/>
  <c r="D106" i="7"/>
  <c r="E106" i="7"/>
  <c r="G106" i="7"/>
  <c r="F106" i="7" l="1"/>
  <c r="B108" i="7"/>
  <c r="E107" i="7"/>
  <c r="D107" i="7"/>
  <c r="G107" i="7"/>
  <c r="F107" i="7" l="1"/>
  <c r="B109" i="7"/>
  <c r="G108" i="7"/>
  <c r="D108" i="7"/>
  <c r="E108" i="7"/>
  <c r="F108" i="7" l="1"/>
  <c r="B110" i="7"/>
  <c r="E109" i="7"/>
  <c r="D109" i="7"/>
  <c r="G109" i="7"/>
  <c r="F109" i="7" l="1"/>
  <c r="B111" i="7"/>
  <c r="G110" i="7"/>
  <c r="D110" i="7"/>
  <c r="E110" i="7"/>
  <c r="F110" i="7" l="1"/>
  <c r="B112" i="7"/>
  <c r="E111" i="7"/>
  <c r="G111" i="7"/>
  <c r="D111" i="7"/>
  <c r="F111" i="7" l="1"/>
  <c r="B113" i="7"/>
  <c r="D112" i="7"/>
  <c r="G112" i="7"/>
  <c r="E112" i="7"/>
  <c r="F112" i="7" l="1"/>
  <c r="B114" i="7"/>
  <c r="D113" i="7"/>
  <c r="G113" i="7"/>
  <c r="E113" i="7"/>
  <c r="F113" i="7" l="1"/>
  <c r="B115" i="7"/>
  <c r="E114" i="7"/>
  <c r="G114" i="7"/>
  <c r="D114" i="7"/>
  <c r="F114" i="7" l="1"/>
  <c r="B116" i="7"/>
  <c r="G115" i="7"/>
  <c r="D115" i="7"/>
  <c r="E115" i="7"/>
  <c r="F115" i="7" l="1"/>
  <c r="B117" i="7"/>
  <c r="D116" i="7"/>
  <c r="G116" i="7"/>
  <c r="E116" i="7"/>
  <c r="F116" i="7" l="1"/>
  <c r="B118" i="7"/>
  <c r="E117" i="7"/>
  <c r="G117" i="7"/>
  <c r="D117" i="7"/>
  <c r="F117" i="7" l="1"/>
  <c r="B119" i="7"/>
  <c r="E118" i="7"/>
  <c r="G118" i="7"/>
  <c r="D118" i="7"/>
  <c r="F118" i="7" l="1"/>
  <c r="B120" i="7"/>
  <c r="D119" i="7"/>
  <c r="E119" i="7"/>
  <c r="G119" i="7"/>
  <c r="F119" i="7" l="1"/>
  <c r="B121" i="7"/>
  <c r="E120" i="7"/>
  <c r="G120" i="7"/>
  <c r="D120" i="7"/>
  <c r="F120" i="7" l="1"/>
  <c r="G121" i="7"/>
  <c r="D121" i="7"/>
  <c r="E121" i="7"/>
  <c r="F121" i="7" l="1"/>
</calcChain>
</file>

<file path=xl/sharedStrings.xml><?xml version="1.0" encoding="utf-8"?>
<sst xmlns="http://schemas.openxmlformats.org/spreadsheetml/2006/main" count="382" uniqueCount="117">
  <si>
    <t>to</t>
  </si>
  <si>
    <t>R</t>
  </si>
  <si>
    <t>P</t>
  </si>
  <si>
    <t>beta</t>
  </si>
  <si>
    <t>omega</t>
  </si>
  <si>
    <t>mu1</t>
  </si>
  <si>
    <t>mu2</t>
  </si>
  <si>
    <t>Chebyshev</t>
  </si>
  <si>
    <t>Equilibrium Mono-continuum 1-D Transport Model</t>
  </si>
  <si>
    <t>Darcy velocity</t>
  </si>
  <si>
    <t>Dispersivity</t>
  </si>
  <si>
    <t>Pore velocity</t>
  </si>
  <si>
    <t>Dispersion coef</t>
  </si>
  <si>
    <t>Initial concentration</t>
  </si>
  <si>
    <t>L/T</t>
  </si>
  <si>
    <t>1/T</t>
  </si>
  <si>
    <t xml:space="preserve">M/L3 </t>
  </si>
  <si>
    <t>Flux</t>
  </si>
  <si>
    <t>Resident</t>
  </si>
  <si>
    <t>Concentration</t>
  </si>
  <si>
    <t>Distance</t>
  </si>
  <si>
    <t>Time</t>
  </si>
  <si>
    <t>Pulse duration</t>
  </si>
  <si>
    <t>L</t>
  </si>
  <si>
    <t>T</t>
  </si>
  <si>
    <t>Pulse concentration</t>
  </si>
  <si>
    <t>Water content</t>
  </si>
  <si>
    <t>L3/L3</t>
  </si>
  <si>
    <t>Total water content</t>
  </si>
  <si>
    <t>Mass transfer coef</t>
  </si>
  <si>
    <t>Mobile water fraction</t>
  </si>
  <si>
    <t>Mobile sorbed fraction</t>
  </si>
  <si>
    <t>Mobile dispersivity</t>
  </si>
  <si>
    <t>Reference travel distance</t>
  </si>
  <si>
    <t>Decay coef, mobile aq</t>
  </si>
  <si>
    <t>Decay coef, mobile ads</t>
  </si>
  <si>
    <t>Decay coef, immobile aq</t>
  </si>
  <si>
    <t>Decay coef, immobile ads</t>
  </si>
  <si>
    <t>Sorption coef, rho*kd</t>
  </si>
  <si>
    <t>M/L3</t>
  </si>
  <si>
    <t>Mobile-Immobile 1-D Transport Model</t>
  </si>
  <si>
    <t xml:space="preserve"> -</t>
  </si>
  <si>
    <t>M/M</t>
  </si>
  <si>
    <t>Tolerance</t>
  </si>
  <si>
    <t>Method</t>
  </si>
  <si>
    <t>Int points</t>
  </si>
  <si>
    <t>Log?</t>
  </si>
  <si>
    <t>Ci</t>
  </si>
  <si>
    <t>Co</t>
  </si>
  <si>
    <t>L3/M/T</t>
  </si>
  <si>
    <t>Mobile</t>
  </si>
  <si>
    <t>Immobile</t>
  </si>
  <si>
    <t>Total</t>
  </si>
  <si>
    <t>Aqueous Resident Concentration</t>
  </si>
  <si>
    <t>Production coef</t>
  </si>
  <si>
    <t>Retardation</t>
  </si>
  <si>
    <t>Observed</t>
  </si>
  <si>
    <t>Initial conc</t>
  </si>
  <si>
    <t>Pulse conc</t>
  </si>
  <si>
    <t>Type</t>
  </si>
  <si>
    <t>Predicted</t>
  </si>
  <si>
    <t>m/d</t>
  </si>
  <si>
    <t>m2/d</t>
  </si>
  <si>
    <t>m</t>
  </si>
  <si>
    <t>g/g</t>
  </si>
  <si>
    <t>1/d</t>
  </si>
  <si>
    <t>g/m3</t>
  </si>
  <si>
    <t>g/m3/d</t>
  </si>
  <si>
    <t>d</t>
  </si>
  <si>
    <t>Prior SD</t>
  </si>
  <si>
    <t>PDF</t>
  </si>
  <si>
    <t>LN</t>
  </si>
  <si>
    <t>N</t>
  </si>
  <si>
    <t>Parameters for Model Calcs</t>
  </si>
  <si>
    <t>Reactive</t>
  </si>
  <si>
    <t>Chemical</t>
  </si>
  <si>
    <t>Tracer</t>
  </si>
  <si>
    <t>Prior</t>
  </si>
  <si>
    <t>Estimate</t>
  </si>
  <si>
    <t>SD</t>
  </si>
  <si>
    <t>Wt Dev</t>
  </si>
  <si>
    <t>Correlation matrix</t>
  </si>
  <si>
    <t>Current</t>
  </si>
  <si>
    <t>MSE</t>
  </si>
  <si>
    <t>No</t>
  </si>
  <si>
    <t>Np</t>
  </si>
  <si>
    <t>X - Xavg</t>
  </si>
  <si>
    <t xml:space="preserve"> t - t avg</t>
  </si>
  <si>
    <t>Avg x</t>
  </si>
  <si>
    <t>Avg t</t>
  </si>
  <si>
    <t>t alpha</t>
  </si>
  <si>
    <t>LCL</t>
  </si>
  <si>
    <t>UCL</t>
  </si>
  <si>
    <t>Detection limit</t>
  </si>
  <si>
    <t>Log transform output? (yes/no)</t>
  </si>
  <si>
    <t>yes</t>
  </si>
  <si>
    <t>SSQ for calib x and t</t>
  </si>
  <si>
    <t>SD react</t>
  </si>
  <si>
    <t>SD tracer</t>
  </si>
  <si>
    <t>Dev</t>
  </si>
  <si>
    <t>SSQ data</t>
  </si>
  <si>
    <t>SSQ penalty</t>
  </si>
  <si>
    <t>Obj function</t>
  </si>
  <si>
    <t>sp</t>
  </si>
  <si>
    <t>Parameter Propagation Variance</t>
  </si>
  <si>
    <t>Regressn Prediction Variance</t>
  </si>
  <si>
    <t>Total Prediction SD</t>
  </si>
  <si>
    <t>Decay coef, ads</t>
  </si>
  <si>
    <t>Decay coef, aqueous</t>
  </si>
  <si>
    <t>Total decay coef</t>
  </si>
  <si>
    <t>UCL-M</t>
  </si>
  <si>
    <t>M-LCL</t>
  </si>
  <si>
    <t>Transformed Prediction</t>
  </si>
  <si>
    <t>SS flux same</t>
  </si>
  <si>
    <t>SS flux mod</t>
  </si>
  <si>
    <t>Tails (1 or 2)</t>
  </si>
  <si>
    <t>CL 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</si>
</sst>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"/>
    <numFmt numFmtId="165" formatCode="0.000"/>
    <numFmt numFmtId="166" formatCode="0.0"/>
    <numFmt numFmtId="167" formatCode="0.0E+00"/>
    <numFmt numFmtId="168" formatCode="0.E+00"/>
    <numFmt numFmtId="169" formatCode="0.00000"/>
  </numFmts>
  <fonts count="5" x14ac:knownFonts="1">
    <font>
      <sz val="10"/>
      <name val="Arial"/>
    </font>
    <font>
      <b/>
      <sz val="12"/>
      <color indexed="10"/>
      <name val="Arial"/>
      <family val="2"/>
    </font>
    <font>
      <sz val="10"/>
      <color indexed="22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6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1" fillId="2" borderId="0" xfId="0" applyFont="1" applyFill="1"/>
    <xf numFmtId="0" fontId="0" fillId="3" borderId="1" xfId="0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2" xfId="0" applyFill="1" applyBorder="1" applyAlignment="1">
      <alignment horizontal="center"/>
    </xf>
    <xf numFmtId="1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0" fillId="3" borderId="1" xfId="0" applyFill="1" applyBorder="1"/>
    <xf numFmtId="0" fontId="0" fillId="2" borderId="0" xfId="0" applyFill="1" applyBorder="1"/>
    <xf numFmtId="2" fontId="0" fillId="2" borderId="0" xfId="0" applyNumberFormat="1" applyFill="1"/>
    <xf numFmtId="2" fontId="0" fillId="2" borderId="0" xfId="0" applyNumberFormat="1" applyFill="1" applyAlignment="1">
      <alignment horizontal="center"/>
    </xf>
    <xf numFmtId="0" fontId="0" fillId="2" borderId="2" xfId="0" applyFill="1" applyBorder="1" applyAlignment="1"/>
    <xf numFmtId="0" fontId="0" fillId="2" borderId="0" xfId="0" applyFill="1" applyBorder="1" applyAlignment="1"/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1" fontId="0" fillId="2" borderId="0" xfId="0" applyNumberFormat="1" applyFill="1" applyAlignment="1">
      <alignment horizontal="center"/>
    </xf>
    <xf numFmtId="0" fontId="4" fillId="2" borderId="0" xfId="0" applyFont="1" applyFill="1"/>
    <xf numFmtId="0" fontId="0" fillId="2" borderId="4" xfId="0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0" fontId="0" fillId="2" borderId="2" xfId="0" applyFill="1" applyBorder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7" fontId="0" fillId="7" borderId="1" xfId="0" applyNumberFormat="1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5" fontId="0" fillId="7" borderId="3" xfId="0" applyNumberFormat="1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0" fontId="3" fillId="2" borderId="0" xfId="0" applyFont="1" applyFill="1" applyBorder="1"/>
    <xf numFmtId="0" fontId="3" fillId="2" borderId="0" xfId="0" applyFont="1" applyFill="1" applyBorder="1" applyAlignment="1">
      <alignment horizontal="left"/>
    </xf>
    <xf numFmtId="1" fontId="3" fillId="3" borderId="1" xfId="0" applyNumberFormat="1" applyFont="1" applyFill="1" applyBorder="1" applyAlignment="1">
      <alignment horizontal="center"/>
    </xf>
    <xf numFmtId="164" fontId="3" fillId="3" borderId="1" xfId="0" applyNumberFormat="1" applyFont="1" applyFill="1" applyBorder="1" applyAlignment="1">
      <alignment horizontal="center"/>
    </xf>
    <xf numFmtId="165" fontId="0" fillId="2" borderId="0" xfId="0" applyNumberFormat="1" applyFill="1"/>
    <xf numFmtId="0" fontId="0" fillId="2" borderId="5" xfId="0" applyFill="1" applyBorder="1" applyAlignment="1">
      <alignment horizontal="center" wrapText="1"/>
    </xf>
    <xf numFmtId="0" fontId="0" fillId="2" borderId="5" xfId="0" applyFill="1" applyBorder="1" applyAlignment="1">
      <alignment wrapText="1"/>
    </xf>
    <xf numFmtId="0" fontId="3" fillId="2" borderId="5" xfId="0" applyFont="1" applyFill="1" applyBorder="1" applyAlignment="1">
      <alignment horizontal="center" wrapText="1"/>
    </xf>
    <xf numFmtId="0" fontId="0" fillId="2" borderId="0" xfId="0" applyFill="1" applyAlignment="1">
      <alignment wrapText="1"/>
    </xf>
    <xf numFmtId="0" fontId="3" fillId="2" borderId="5" xfId="0" applyFont="1" applyFill="1" applyBorder="1" applyAlignment="1">
      <alignment wrapText="1"/>
    </xf>
    <xf numFmtId="2" fontId="0" fillId="7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164" fontId="3" fillId="6" borderId="1" xfId="0" applyNumberFormat="1" applyFont="1" applyFill="1" applyBorder="1" applyAlignment="1">
      <alignment horizontal="center"/>
    </xf>
    <xf numFmtId="0" fontId="3" fillId="2" borderId="0" xfId="0" applyFont="1" applyFill="1" applyAlignment="1">
      <alignment horizontal="center" wrapText="1"/>
    </xf>
    <xf numFmtId="169" fontId="0" fillId="2" borderId="0" xfId="0" applyNumberFormat="1" applyFill="1" applyAlignment="1">
      <alignment horizontal="center"/>
    </xf>
    <xf numFmtId="0" fontId="3" fillId="2" borderId="0" xfId="0" applyFont="1" applyFill="1" applyBorder="1" applyAlignment="1">
      <alignment horizontal="center" wrapText="1"/>
    </xf>
    <xf numFmtId="0" fontId="0" fillId="2" borderId="0" xfId="0" applyFill="1" applyBorder="1" applyAlignment="1">
      <alignment horizontal="center" wrapText="1"/>
    </xf>
    <xf numFmtId="0" fontId="3" fillId="8" borderId="0" xfId="0" applyFont="1" applyFill="1"/>
    <xf numFmtId="1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0" fontId="3" fillId="8" borderId="0" xfId="0" applyFont="1" applyFill="1" applyAlignment="1">
      <alignment horizontal="center"/>
    </xf>
    <xf numFmtId="168" fontId="0" fillId="8" borderId="0" xfId="0" applyNumberFormat="1" applyFill="1" applyAlignment="1">
      <alignment horizontal="center"/>
    </xf>
    <xf numFmtId="11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169" fontId="0" fillId="8" borderId="0" xfId="0" applyNumberFormat="1" applyFill="1" applyAlignment="1">
      <alignment horizontal="center"/>
    </xf>
    <xf numFmtId="1" fontId="0" fillId="6" borderId="1" xfId="0" applyNumberFormat="1" applyFill="1" applyBorder="1" applyAlignment="1">
      <alignment horizontal="center"/>
    </xf>
    <xf numFmtId="9" fontId="0" fillId="6" borderId="1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CFF66"/>
      <color rgb="FF0000FF"/>
      <color rgb="FFFFFF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28795034694101"/>
          <c:y val="2.6536682914635672E-2"/>
          <c:w val="0.80000901616677456"/>
          <c:h val="0.78742384474667937"/>
        </c:manualLayout>
      </c:layout>
      <c:scatterChart>
        <c:scatterStyle val="smoothMarker"/>
        <c:varyColors val="0"/>
        <c:ser>
          <c:idx val="0"/>
          <c:order val="0"/>
          <c:tx>
            <c:v>Predicted reactive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CDE!$B$77:$B$126</c:f>
              <c:numCache>
                <c:formatCode>0</c:formatCode>
                <c:ptCount val="5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</c:numCache>
            </c:numRef>
          </c:xVal>
          <c:yVal>
            <c:numRef>
              <c:f>CDE!$G$78:$G$126</c:f>
              <c:numCache>
                <c:formatCode>0.00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Observed reactive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CDE!$B$77:$B$126</c:f>
              <c:numCache>
                <c:formatCode>0</c:formatCode>
                <c:ptCount val="5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</c:numCache>
            </c:numRef>
          </c:xVal>
          <c:yVal>
            <c:numRef>
              <c:f>CDE!$F$77:$F$126</c:f>
              <c:numCache>
                <c:formatCode>0.00</c:formatCode>
                <c:ptCount val="5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0.01</c:v>
                </c:pt>
                <c:pt idx="7">
                  <c:v>0.03</c:v>
                </c:pt>
                <c:pt idx="8">
                  <c:v>0.14000000000000001</c:v>
                </c:pt>
                <c:pt idx="9">
                  <c:v>0.38</c:v>
                </c:pt>
                <c:pt idx="10">
                  <c:v>0.77</c:v>
                </c:pt>
                <c:pt idx="11">
                  <c:v>1.62</c:v>
                </c:pt>
                <c:pt idx="12">
                  <c:v>2.13</c:v>
                </c:pt>
                <c:pt idx="13">
                  <c:v>3.09</c:v>
                </c:pt>
                <c:pt idx="14">
                  <c:v>3.72</c:v>
                </c:pt>
                <c:pt idx="15">
                  <c:v>4.7</c:v>
                </c:pt>
                <c:pt idx="16">
                  <c:v>4.88</c:v>
                </c:pt>
                <c:pt idx="17">
                  <c:v>5.61</c:v>
                </c:pt>
                <c:pt idx="18">
                  <c:v>5.49</c:v>
                </c:pt>
                <c:pt idx="19">
                  <c:v>4.9400000000000004</c:v>
                </c:pt>
                <c:pt idx="20">
                  <c:v>4.37</c:v>
                </c:pt>
                <c:pt idx="21">
                  <c:v>4.12</c:v>
                </c:pt>
                <c:pt idx="22">
                  <c:v>3.79</c:v>
                </c:pt>
                <c:pt idx="23">
                  <c:v>3.2</c:v>
                </c:pt>
                <c:pt idx="24">
                  <c:v>2.83</c:v>
                </c:pt>
                <c:pt idx="25">
                  <c:v>2.4900000000000002</c:v>
                </c:pt>
                <c:pt idx="26">
                  <c:v>2.16</c:v>
                </c:pt>
                <c:pt idx="27">
                  <c:v>1.84</c:v>
                </c:pt>
                <c:pt idx="28">
                  <c:v>1.45</c:v>
                </c:pt>
                <c:pt idx="29">
                  <c:v>1.1299999999999999</c:v>
                </c:pt>
                <c:pt idx="30">
                  <c:v>0.84</c:v>
                </c:pt>
                <c:pt idx="31">
                  <c:v>0.71</c:v>
                </c:pt>
                <c:pt idx="32">
                  <c:v>0.59</c:v>
                </c:pt>
                <c:pt idx="33">
                  <c:v>0.44</c:v>
                </c:pt>
                <c:pt idx="34">
                  <c:v>0.36</c:v>
                </c:pt>
                <c:pt idx="35">
                  <c:v>0.26</c:v>
                </c:pt>
                <c:pt idx="36">
                  <c:v>0.21</c:v>
                </c:pt>
                <c:pt idx="37">
                  <c:v>0.16</c:v>
                </c:pt>
                <c:pt idx="38">
                  <c:v>0.13</c:v>
                </c:pt>
                <c:pt idx="39">
                  <c:v>0.1</c:v>
                </c:pt>
                <c:pt idx="40">
                  <c:v>0.08</c:v>
                </c:pt>
                <c:pt idx="41">
                  <c:v>0.06</c:v>
                </c:pt>
                <c:pt idx="42">
                  <c:v>0.05</c:v>
                </c:pt>
                <c:pt idx="43">
                  <c:v>0.04</c:v>
                </c:pt>
                <c:pt idx="44">
                  <c:v>0.03</c:v>
                </c:pt>
                <c:pt idx="45">
                  <c:v>0.02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</c:numCache>
            </c:numRef>
          </c:yVal>
          <c:smooth val="1"/>
        </c:ser>
        <c:ser>
          <c:idx val="2"/>
          <c:order val="2"/>
          <c:tx>
            <c:v>Observed tracer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CDE!$B$27:$B$76</c:f>
              <c:numCache>
                <c:formatCode>0</c:formatCode>
                <c:ptCount val="5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</c:numCache>
            </c:numRef>
          </c:xVal>
          <c:yVal>
            <c:numRef>
              <c:f>CDE!$F$27:$F$76</c:f>
              <c:numCache>
                <c:formatCode>0.00</c:formatCode>
                <c:ptCount val="5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0.02</c:v>
                </c:pt>
                <c:pt idx="5">
                  <c:v>0.12</c:v>
                </c:pt>
                <c:pt idx="6">
                  <c:v>0.45</c:v>
                </c:pt>
                <c:pt idx="7">
                  <c:v>1.07</c:v>
                </c:pt>
                <c:pt idx="8">
                  <c:v>1.95</c:v>
                </c:pt>
                <c:pt idx="9">
                  <c:v>2.88</c:v>
                </c:pt>
                <c:pt idx="10">
                  <c:v>3.36</c:v>
                </c:pt>
                <c:pt idx="11">
                  <c:v>3.49</c:v>
                </c:pt>
                <c:pt idx="12">
                  <c:v>3.58</c:v>
                </c:pt>
                <c:pt idx="13">
                  <c:v>3.33</c:v>
                </c:pt>
                <c:pt idx="14">
                  <c:v>2.4500000000000002</c:v>
                </c:pt>
                <c:pt idx="15">
                  <c:v>2.15</c:v>
                </c:pt>
                <c:pt idx="16">
                  <c:v>1.52</c:v>
                </c:pt>
                <c:pt idx="17">
                  <c:v>1.21</c:v>
                </c:pt>
                <c:pt idx="18">
                  <c:v>0.81</c:v>
                </c:pt>
                <c:pt idx="19">
                  <c:v>0.63</c:v>
                </c:pt>
                <c:pt idx="20">
                  <c:v>0.46</c:v>
                </c:pt>
                <c:pt idx="21">
                  <c:v>0.28000000000000003</c:v>
                </c:pt>
                <c:pt idx="22">
                  <c:v>0.21</c:v>
                </c:pt>
                <c:pt idx="23">
                  <c:v>0.14000000000000001</c:v>
                </c:pt>
                <c:pt idx="24">
                  <c:v>0.1</c:v>
                </c:pt>
                <c:pt idx="25">
                  <c:v>0.06</c:v>
                </c:pt>
                <c:pt idx="26">
                  <c:v>0.04</c:v>
                </c:pt>
                <c:pt idx="27">
                  <c:v>0.03</c:v>
                </c:pt>
                <c:pt idx="28">
                  <c:v>0.02</c:v>
                </c:pt>
                <c:pt idx="29">
                  <c:v>0.01</c:v>
                </c:pt>
                <c:pt idx="30">
                  <c:v>0.01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</c:ser>
        <c:ser>
          <c:idx val="3"/>
          <c:order val="3"/>
          <c:tx>
            <c:v>Predicted tracer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CDE!$B$27:$B$76</c:f>
              <c:numCache>
                <c:formatCode>0</c:formatCode>
                <c:ptCount val="5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</c:numCache>
            </c:numRef>
          </c:xVal>
          <c:yVal>
            <c:numRef>
              <c:f>CDE!$G$27:$G$76</c:f>
              <c:numCache>
                <c:formatCode>0.00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56288"/>
        <c:axId val="70158592"/>
      </c:scatterChart>
      <c:valAx>
        <c:axId val="701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Time</a:t>
                </a:r>
              </a:p>
            </c:rich>
          </c:tx>
          <c:layout>
            <c:manualLayout>
              <c:xMode val="edge"/>
              <c:yMode val="edge"/>
              <c:x val="0.51097914966050195"/>
              <c:y val="0.9078074331617637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158592"/>
        <c:crosses val="autoZero"/>
        <c:crossBetween val="midCat"/>
      </c:valAx>
      <c:valAx>
        <c:axId val="7015859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Flux </a:t>
                </a:r>
                <a:r>
                  <a:rPr lang="en-US" sz="900"/>
                  <a:t>Concentration</a:t>
                </a:r>
              </a:p>
            </c:rich>
          </c:tx>
          <c:layout>
            <c:manualLayout>
              <c:xMode val="edge"/>
              <c:yMode val="edge"/>
              <c:x val="5.0390690474994707E-3"/>
              <c:y val="0.20503028030587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15628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236061435381052"/>
          <c:y val="4.3126056296986993E-2"/>
          <c:w val="0.29731937372204342"/>
          <c:h val="0.255814302281982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" r="0.750000000000001" t="1" header="0.5" footer="0.5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7498475223244"/>
          <c:y val="2.0570381722418932E-2"/>
          <c:w val="0.82593559617058399"/>
          <c:h val="0.7977367929679926"/>
        </c:manualLayout>
      </c:layout>
      <c:scatterChart>
        <c:scatterStyle val="smoothMarker"/>
        <c:varyColors val="0"/>
        <c:ser>
          <c:idx val="0"/>
          <c:order val="0"/>
          <c:tx>
            <c:v>Predicted 300 d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CDE!$C$136:$C$144</c:f>
              <c:numCache>
                <c:formatCode>0.00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1.9990000000000001</c:v>
                </c:pt>
              </c:numCache>
            </c:numRef>
          </c:xVal>
          <c:yVal>
            <c:numRef>
              <c:f>CDE!$G$136:$G$144</c:f>
              <c:numCache>
                <c:formatCode>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Predicted 150 d</c:v>
          </c:tx>
          <c:spPr>
            <a:ln w="254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CDE!$C$127:$C$135</c:f>
              <c:numCache>
                <c:formatCode>0.00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1.9990000000000001</c:v>
                </c:pt>
              </c:numCache>
            </c:numRef>
          </c:xVal>
          <c:yVal>
            <c:numRef>
              <c:f>CDE!$G$127:$G$135</c:f>
              <c:numCache>
                <c:formatCode>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Observed 300 d</c:v>
          </c:tx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CDE!$C$136:$C$144</c:f>
              <c:numCache>
                <c:formatCode>0.00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1.9990000000000001</c:v>
                </c:pt>
              </c:numCache>
            </c:numRef>
          </c:xVal>
          <c:yVal>
            <c:numRef>
              <c:f>CDE!$F$136:$F$144</c:f>
              <c:numCache>
                <c:formatCode>0.00</c:formatCode>
                <c:ptCount val="9"/>
                <c:pt idx="0">
                  <c:v>1E-3</c:v>
                </c:pt>
                <c:pt idx="1">
                  <c:v>1E-3</c:v>
                </c:pt>
                <c:pt idx="2">
                  <c:v>0.01</c:v>
                </c:pt>
                <c:pt idx="3">
                  <c:v>0.04</c:v>
                </c:pt>
                <c:pt idx="4">
                  <c:v>0.12</c:v>
                </c:pt>
                <c:pt idx="5">
                  <c:v>0.24</c:v>
                </c:pt>
                <c:pt idx="6">
                  <c:v>0.49</c:v>
                </c:pt>
                <c:pt idx="7">
                  <c:v>0.83</c:v>
                </c:pt>
                <c:pt idx="8">
                  <c:v>1.4</c:v>
                </c:pt>
              </c:numCache>
            </c:numRef>
          </c:yVal>
          <c:smooth val="1"/>
        </c:ser>
        <c:ser>
          <c:idx val="3"/>
          <c:order val="3"/>
          <c:tx>
            <c:v>Observed 150 d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CDE!$C$127:$C$135</c:f>
              <c:numCache>
                <c:formatCode>0.00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1.9990000000000001</c:v>
                </c:pt>
              </c:numCache>
            </c:numRef>
          </c:xVal>
          <c:yVal>
            <c:numRef>
              <c:f>CDE!$F$127:$F$135</c:f>
              <c:numCache>
                <c:formatCode>0.00</c:formatCode>
                <c:ptCount val="9"/>
                <c:pt idx="0">
                  <c:v>0.09</c:v>
                </c:pt>
                <c:pt idx="1">
                  <c:v>0.62</c:v>
                </c:pt>
                <c:pt idx="2">
                  <c:v>2.11</c:v>
                </c:pt>
                <c:pt idx="3">
                  <c:v>4.88</c:v>
                </c:pt>
                <c:pt idx="4">
                  <c:v>7.89</c:v>
                </c:pt>
                <c:pt idx="5">
                  <c:v>8.91</c:v>
                </c:pt>
                <c:pt idx="6">
                  <c:v>8.7899999999999991</c:v>
                </c:pt>
                <c:pt idx="7">
                  <c:v>5.8</c:v>
                </c:pt>
                <c:pt idx="8">
                  <c:v>3.37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06048"/>
        <c:axId val="74908416"/>
      </c:scatterChart>
      <c:valAx>
        <c:axId val="73906048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Distance</a:t>
                </a:r>
              </a:p>
            </c:rich>
          </c:tx>
          <c:layout>
            <c:manualLayout>
              <c:xMode val="edge"/>
              <c:yMode val="edge"/>
              <c:x val="0.43134200914180792"/>
              <c:y val="0.9252951434761934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908416"/>
        <c:crosses val="autoZero"/>
        <c:crossBetween val="midCat"/>
      </c:valAx>
      <c:valAx>
        <c:axId val="7490841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Resident Concentration</a:t>
                </a:r>
              </a:p>
            </c:rich>
          </c:tx>
          <c:layout>
            <c:manualLayout>
              <c:xMode val="edge"/>
              <c:yMode val="edge"/>
              <c:x val="7.5033687103712547E-3"/>
              <c:y val="0.1501804598076693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9060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715025969805143"/>
          <c:y val="4.7071584931551641E-2"/>
          <c:w val="0.32640270354097189"/>
          <c:h val="0.258389614049921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" r="0.750000000000001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582914572864318"/>
          <c:y val="8.7774429023849451E-2"/>
          <c:w val="0.77889447236181086"/>
          <c:h val="0.70533023322736033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'2-region'!$B$21:$B$121</c:f>
              <c:numCache>
                <c:formatCode>0.0</c:formatCode>
                <c:ptCount val="101"/>
                <c:pt idx="0" formatCode="0">
                  <c:v>1E-3</c:v>
                </c:pt>
                <c:pt idx="1">
                  <c:v>15.000999999999999</c:v>
                </c:pt>
                <c:pt idx="2">
                  <c:v>30.000999999999998</c:v>
                </c:pt>
                <c:pt idx="3">
                  <c:v>45.000999999999998</c:v>
                </c:pt>
                <c:pt idx="4">
                  <c:v>60.000999999999998</c:v>
                </c:pt>
                <c:pt idx="5">
                  <c:v>75.001000000000005</c:v>
                </c:pt>
                <c:pt idx="6">
                  <c:v>90.001000000000005</c:v>
                </c:pt>
                <c:pt idx="7">
                  <c:v>105.001</c:v>
                </c:pt>
                <c:pt idx="8">
                  <c:v>120.001</c:v>
                </c:pt>
                <c:pt idx="9">
                  <c:v>135.001</c:v>
                </c:pt>
                <c:pt idx="10">
                  <c:v>150.001</c:v>
                </c:pt>
                <c:pt idx="11">
                  <c:v>165.001</c:v>
                </c:pt>
                <c:pt idx="12">
                  <c:v>180.001</c:v>
                </c:pt>
                <c:pt idx="13">
                  <c:v>195.001</c:v>
                </c:pt>
                <c:pt idx="14">
                  <c:v>210.001</c:v>
                </c:pt>
                <c:pt idx="15">
                  <c:v>225.001</c:v>
                </c:pt>
                <c:pt idx="16">
                  <c:v>240.001</c:v>
                </c:pt>
                <c:pt idx="17">
                  <c:v>255.001</c:v>
                </c:pt>
                <c:pt idx="18">
                  <c:v>270.00099999999998</c:v>
                </c:pt>
                <c:pt idx="19">
                  <c:v>285.00099999999998</c:v>
                </c:pt>
                <c:pt idx="20">
                  <c:v>300.00099999999998</c:v>
                </c:pt>
                <c:pt idx="21">
                  <c:v>315.00099999999998</c:v>
                </c:pt>
                <c:pt idx="22">
                  <c:v>330.00099999999998</c:v>
                </c:pt>
                <c:pt idx="23">
                  <c:v>345.00099999999998</c:v>
                </c:pt>
                <c:pt idx="24">
                  <c:v>360.00099999999998</c:v>
                </c:pt>
                <c:pt idx="25">
                  <c:v>375.00099999999998</c:v>
                </c:pt>
                <c:pt idx="26">
                  <c:v>390.00099999999998</c:v>
                </c:pt>
                <c:pt idx="27">
                  <c:v>405.00099999999998</c:v>
                </c:pt>
                <c:pt idx="28">
                  <c:v>420.00099999999998</c:v>
                </c:pt>
                <c:pt idx="29">
                  <c:v>435.00099999999998</c:v>
                </c:pt>
                <c:pt idx="30">
                  <c:v>450.00099999999998</c:v>
                </c:pt>
                <c:pt idx="31">
                  <c:v>465.00099999999998</c:v>
                </c:pt>
                <c:pt idx="32">
                  <c:v>480.00099999999998</c:v>
                </c:pt>
                <c:pt idx="33">
                  <c:v>495.00099999999998</c:v>
                </c:pt>
                <c:pt idx="34">
                  <c:v>510.00099999999998</c:v>
                </c:pt>
                <c:pt idx="35">
                  <c:v>525.00099999999998</c:v>
                </c:pt>
                <c:pt idx="36">
                  <c:v>540.00099999999998</c:v>
                </c:pt>
                <c:pt idx="37">
                  <c:v>555.00099999999998</c:v>
                </c:pt>
                <c:pt idx="38">
                  <c:v>570.00099999999998</c:v>
                </c:pt>
                <c:pt idx="39">
                  <c:v>585.00099999999998</c:v>
                </c:pt>
                <c:pt idx="40">
                  <c:v>600.00099999999998</c:v>
                </c:pt>
                <c:pt idx="41">
                  <c:v>615.00099999999998</c:v>
                </c:pt>
                <c:pt idx="42">
                  <c:v>630.00099999999998</c:v>
                </c:pt>
                <c:pt idx="43">
                  <c:v>645.00099999999998</c:v>
                </c:pt>
                <c:pt idx="44">
                  <c:v>660.00099999999998</c:v>
                </c:pt>
                <c:pt idx="45">
                  <c:v>675.00099999999998</c:v>
                </c:pt>
                <c:pt idx="46">
                  <c:v>690.00099999999998</c:v>
                </c:pt>
                <c:pt idx="47">
                  <c:v>705.00099999999998</c:v>
                </c:pt>
                <c:pt idx="48">
                  <c:v>720.00099999999998</c:v>
                </c:pt>
                <c:pt idx="49">
                  <c:v>735.00099999999998</c:v>
                </c:pt>
                <c:pt idx="50">
                  <c:v>750.00099999999998</c:v>
                </c:pt>
                <c:pt idx="51">
                  <c:v>765.00099999999998</c:v>
                </c:pt>
                <c:pt idx="52">
                  <c:v>780.00099999999998</c:v>
                </c:pt>
                <c:pt idx="53">
                  <c:v>795.00099999999998</c:v>
                </c:pt>
                <c:pt idx="54">
                  <c:v>810.00099999999998</c:v>
                </c:pt>
                <c:pt idx="55">
                  <c:v>825.00099999999998</c:v>
                </c:pt>
                <c:pt idx="56">
                  <c:v>840.00099999999998</c:v>
                </c:pt>
                <c:pt idx="57">
                  <c:v>855.00099999999998</c:v>
                </c:pt>
                <c:pt idx="58">
                  <c:v>870.00099999999998</c:v>
                </c:pt>
                <c:pt idx="59">
                  <c:v>885.00099999999998</c:v>
                </c:pt>
                <c:pt idx="60">
                  <c:v>900.00099999999998</c:v>
                </c:pt>
                <c:pt idx="61">
                  <c:v>915.00099999999998</c:v>
                </c:pt>
                <c:pt idx="62">
                  <c:v>930.00099999999998</c:v>
                </c:pt>
                <c:pt idx="63">
                  <c:v>945.00099999999998</c:v>
                </c:pt>
                <c:pt idx="64">
                  <c:v>960.00099999999998</c:v>
                </c:pt>
                <c:pt idx="65">
                  <c:v>975.00099999999998</c:v>
                </c:pt>
                <c:pt idx="66">
                  <c:v>990.00099999999998</c:v>
                </c:pt>
                <c:pt idx="67">
                  <c:v>1005.001</c:v>
                </c:pt>
                <c:pt idx="68">
                  <c:v>1020.001</c:v>
                </c:pt>
                <c:pt idx="69">
                  <c:v>1035.001</c:v>
                </c:pt>
                <c:pt idx="70">
                  <c:v>1050.001</c:v>
                </c:pt>
                <c:pt idx="71">
                  <c:v>1065.001</c:v>
                </c:pt>
                <c:pt idx="72">
                  <c:v>1080.001</c:v>
                </c:pt>
                <c:pt idx="73">
                  <c:v>1095.001</c:v>
                </c:pt>
                <c:pt idx="74">
                  <c:v>1110.001</c:v>
                </c:pt>
                <c:pt idx="75">
                  <c:v>1125.001</c:v>
                </c:pt>
                <c:pt idx="76">
                  <c:v>1140.001</c:v>
                </c:pt>
                <c:pt idx="77">
                  <c:v>1155.001</c:v>
                </c:pt>
                <c:pt idx="78">
                  <c:v>1170.001</c:v>
                </c:pt>
                <c:pt idx="79">
                  <c:v>1185.001</c:v>
                </c:pt>
                <c:pt idx="80">
                  <c:v>1200.001</c:v>
                </c:pt>
                <c:pt idx="81">
                  <c:v>1215.001</c:v>
                </c:pt>
                <c:pt idx="82">
                  <c:v>1230.001</c:v>
                </c:pt>
                <c:pt idx="83">
                  <c:v>1245.001</c:v>
                </c:pt>
                <c:pt idx="84">
                  <c:v>1260.001</c:v>
                </c:pt>
                <c:pt idx="85">
                  <c:v>1275.001</c:v>
                </c:pt>
                <c:pt idx="86">
                  <c:v>1290.001</c:v>
                </c:pt>
                <c:pt idx="87">
                  <c:v>1305.001</c:v>
                </c:pt>
                <c:pt idx="88">
                  <c:v>1320.001</c:v>
                </c:pt>
                <c:pt idx="89">
                  <c:v>1335.001</c:v>
                </c:pt>
                <c:pt idx="90">
                  <c:v>1350.001</c:v>
                </c:pt>
                <c:pt idx="91">
                  <c:v>1365.001</c:v>
                </c:pt>
                <c:pt idx="92">
                  <c:v>1380.001</c:v>
                </c:pt>
                <c:pt idx="93">
                  <c:v>1395.001</c:v>
                </c:pt>
                <c:pt idx="94">
                  <c:v>1410.001</c:v>
                </c:pt>
                <c:pt idx="95">
                  <c:v>1425.001</c:v>
                </c:pt>
                <c:pt idx="96">
                  <c:v>1440.001</c:v>
                </c:pt>
                <c:pt idx="97">
                  <c:v>1455.001</c:v>
                </c:pt>
                <c:pt idx="98">
                  <c:v>1470.001</c:v>
                </c:pt>
                <c:pt idx="99">
                  <c:v>1485.001</c:v>
                </c:pt>
                <c:pt idx="100">
                  <c:v>1500.001</c:v>
                </c:pt>
              </c:numCache>
            </c:numRef>
          </c:xVal>
          <c:yVal>
            <c:numRef>
              <c:f>'2-region'!$G$22:$G$121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78688"/>
        <c:axId val="121447168"/>
      </c:scatterChart>
      <c:valAx>
        <c:axId val="104978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51097904219259116"/>
              <c:y val="0.884719472761829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447168"/>
        <c:crosses val="autoZero"/>
        <c:crossBetween val="midCat"/>
      </c:valAx>
      <c:valAx>
        <c:axId val="12144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Flux Concentration</a:t>
                </a:r>
              </a:p>
            </c:rich>
          </c:tx>
          <c:layout>
            <c:manualLayout>
              <c:xMode val="edge"/>
              <c:yMode val="edge"/>
              <c:x val="3.1936058243975794E-2"/>
              <c:y val="0.3002683912159887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97868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" r="0.75000000000000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7750899550704"/>
          <c:y val="8.888916446293546E-2"/>
          <c:w val="0.7827235135843349"/>
          <c:h val="0.70158947665388505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'2-region'!$C$21:$C$121</c:f>
              <c:numCache>
                <c:formatCode>0.0</c:formatCode>
                <c:ptCount val="10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</c:numCache>
            </c:numRef>
          </c:xVal>
          <c:yVal>
            <c:numRef>
              <c:f>'2-region'!$F$22:$F$121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94880"/>
        <c:axId val="133196800"/>
      </c:scatterChart>
      <c:valAx>
        <c:axId val="13319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</a:t>
                </a:r>
              </a:p>
            </c:rich>
          </c:tx>
          <c:layout>
            <c:manualLayout>
              <c:xMode val="edge"/>
              <c:yMode val="edge"/>
              <c:x val="0.48007997691388116"/>
              <c:y val="0.885026704995208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196800"/>
        <c:crosses val="autoZero"/>
        <c:crossBetween val="midCat"/>
      </c:valAx>
      <c:valAx>
        <c:axId val="13319680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Total Resident Concentration</a:t>
                </a:r>
              </a:p>
            </c:rich>
          </c:tx>
          <c:layout>
            <c:manualLayout>
              <c:xMode val="edge"/>
              <c:yMode val="edge"/>
              <c:x val="3.1872586607302356E-2"/>
              <c:y val="0.2994652335124779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1948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" r="0.75000000000000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409576</xdr:colOff>
      <xdr:row>8</xdr:row>
      <xdr:rowOff>104776</xdr:rowOff>
    </xdr:from>
    <xdr:to>
      <xdr:col>12</xdr:col>
      <xdr:colOff>257175</xdr:colOff>
      <xdr:row>23</xdr:row>
      <xdr:rowOff>9525</xdr:rowOff>
    </xdr:to>
    <xdr:graphicFrame macro="">
      <xdr:nvGraphicFramePr>
        <xdr:cNvPr id="103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400051</xdr:colOff>
      <xdr:row>8</xdr:row>
      <xdr:rowOff>76200</xdr:rowOff>
    </xdr:from>
    <xdr:to>
      <xdr:col>17</xdr:col>
      <xdr:colOff>476250</xdr:colOff>
      <xdr:row>22</xdr:row>
      <xdr:rowOff>104775</xdr:rowOff>
    </xdr:to>
    <xdr:graphicFrame macro="">
      <xdr:nvGraphicFramePr>
        <xdr:cNvPr id="103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514350</xdr:colOff>
      <xdr:row>0</xdr:row>
      <xdr:rowOff>152400</xdr:rowOff>
    </xdr:from>
    <xdr:to>
      <xdr:col>13</xdr:col>
      <xdr:colOff>190500</xdr:colOff>
      <xdr:row>19</xdr:row>
      <xdr:rowOff>19050</xdr:rowOff>
    </xdr:to>
    <xdr:graphicFrame macro="">
      <xdr:nvGraphicFramePr>
        <xdr:cNvPr id="717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171450</xdr:rowOff>
    </xdr:from>
    <xdr:to>
      <xdr:col>19</xdr:col>
      <xdr:colOff>590550</xdr:colOff>
      <xdr:row>19</xdr:row>
      <xdr:rowOff>0</xdr:rowOff>
    </xdr:to>
    <xdr:graphicFrame macro="">
      <xdr:nvGraphicFramePr>
        <xdr:cNvPr id="717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76"/>
  <sheetViews>
    <sheetView tabSelected="1" workbookViewId="0">
      <pane ySplit="26" topLeftCell="A140" activePane="bottomLeft" state="frozen"/>
      <selection pane="bottomLeft" activeCell="F21" sqref="F21"/>
    </sheetView>
  </sheetViews>
  <sheetFormatPr defaultRowHeight="12.75" x14ac:dyDescent="0.2"/>
  <cols>
    <col min="1" max="1" width="12.42578125" style="1" customWidth="1"/>
    <col min="2" max="2" width="15.28515625" style="1" customWidth="1"/>
    <col min="3" max="3" width="11" style="1" customWidth="1"/>
    <col min="4" max="4" width="9.85546875" style="1" customWidth="1"/>
    <col min="5" max="5" width="9.7109375" style="1" customWidth="1"/>
    <col min="6" max="6" width="12.140625" style="1" customWidth="1"/>
    <col min="7" max="7" width="10" style="1" customWidth="1"/>
    <col min="8" max="8" width="9.28515625" style="1" customWidth="1"/>
    <col min="9" max="10" width="10.140625" style="1" customWidth="1"/>
    <col min="11" max="11" width="11" style="1" customWidth="1"/>
    <col min="12" max="12" width="12.42578125" style="1" bestFit="1" customWidth="1"/>
    <col min="13" max="17" width="9.140625" style="1"/>
    <col min="18" max="18" width="15.42578125" style="2" customWidth="1"/>
    <col min="19" max="19" width="14.140625" style="1" customWidth="1"/>
    <col min="20" max="22" width="12.85546875" style="1" customWidth="1"/>
    <col min="23" max="24" width="9.140625" style="1"/>
    <col min="25" max="25" width="10.5703125" style="1" customWidth="1"/>
    <col min="26" max="26" width="10" style="1" customWidth="1"/>
    <col min="27" max="16384" width="9.140625" style="1"/>
  </cols>
  <sheetData>
    <row r="1" spans="2:19" ht="18.75" customHeight="1" x14ac:dyDescent="0.25">
      <c r="B1" s="5" t="s">
        <v>8</v>
      </c>
      <c r="H1" s="9"/>
      <c r="K1" s="4"/>
      <c r="L1" s="4"/>
    </row>
    <row r="2" spans="2:19" x14ac:dyDescent="0.2">
      <c r="D2" s="34" t="s">
        <v>82</v>
      </c>
      <c r="F2" s="10" t="s">
        <v>70</v>
      </c>
      <c r="G2" s="33" t="s">
        <v>77</v>
      </c>
      <c r="H2" s="10" t="s">
        <v>69</v>
      </c>
      <c r="I2" s="33" t="s">
        <v>80</v>
      </c>
      <c r="J2" s="37" t="s">
        <v>78</v>
      </c>
      <c r="K2" s="4"/>
      <c r="L2" s="4"/>
      <c r="M2" s="39" t="s">
        <v>103</v>
      </c>
      <c r="N2" s="77" t="s">
        <v>81</v>
      </c>
      <c r="O2" s="77"/>
      <c r="P2" s="77"/>
      <c r="Q2" s="77"/>
      <c r="R2" s="77"/>
    </row>
    <row r="3" spans="2:19" x14ac:dyDescent="0.2">
      <c r="B3" s="28" t="s">
        <v>9</v>
      </c>
      <c r="D3" s="42">
        <f>IF(F3="LN",EXP(J3),J3)</f>
        <v>2.5622141191690992E-3</v>
      </c>
      <c r="E3" s="1" t="s">
        <v>61</v>
      </c>
      <c r="F3" s="6" t="s">
        <v>71</v>
      </c>
      <c r="G3" s="41">
        <f>LN(0.0023)</f>
        <v>-6.074846156047033</v>
      </c>
      <c r="H3" s="6">
        <v>0.2</v>
      </c>
      <c r="I3" s="40">
        <f>(G3-J3)/H3</f>
        <v>-0.53981326027348508</v>
      </c>
      <c r="J3" s="44">
        <v>-5.966883503992336</v>
      </c>
      <c r="K3" s="38">
        <v>-99</v>
      </c>
      <c r="L3" s="21">
        <v>99</v>
      </c>
      <c r="M3" s="58">
        <v>5.9648853148333847E-2</v>
      </c>
      <c r="N3" s="59">
        <v>1</v>
      </c>
      <c r="O3" s="59">
        <v>0.9121736848008315</v>
      </c>
      <c r="P3" s="59">
        <v>0.33491153010015401</v>
      </c>
      <c r="Q3" s="59">
        <v>9.2313752761886164E-2</v>
      </c>
      <c r="R3" s="59">
        <v>-2.9566630058170174E-2</v>
      </c>
      <c r="S3" s="52"/>
    </row>
    <row r="4" spans="2:19" x14ac:dyDescent="0.2">
      <c r="B4" s="28" t="s">
        <v>26</v>
      </c>
      <c r="D4" s="42">
        <f>IF(F4="LN",EXP(J4),J4)</f>
        <v>0.15009487126747689</v>
      </c>
      <c r="E4" s="1" t="s">
        <v>41</v>
      </c>
      <c r="F4" s="6" t="s">
        <v>72</v>
      </c>
      <c r="G4" s="41">
        <v>0.15</v>
      </c>
      <c r="H4" s="6">
        <v>0.01</v>
      </c>
      <c r="I4" s="40">
        <f>(G4-J4)/H4</f>
        <v>-9.4871267476898113E-3</v>
      </c>
      <c r="J4" s="44">
        <v>0.15009487126747689</v>
      </c>
      <c r="K4" s="38">
        <v>-99</v>
      </c>
      <c r="L4" s="21">
        <v>99</v>
      </c>
      <c r="M4" s="58">
        <v>7.8571955086333967E-3</v>
      </c>
      <c r="N4" s="59">
        <v>0.9121736848008315</v>
      </c>
      <c r="O4" s="59">
        <v>0.99999999999999989</v>
      </c>
      <c r="P4" s="59">
        <v>0.17522372705261358</v>
      </c>
      <c r="Q4" s="59">
        <v>6.9950742579653363E-2</v>
      </c>
      <c r="R4" s="59">
        <v>-3.4645493366979273E-2</v>
      </c>
      <c r="S4" s="52"/>
    </row>
    <row r="5" spans="2:19" x14ac:dyDescent="0.2">
      <c r="B5" s="28" t="s">
        <v>10</v>
      </c>
      <c r="D5" s="42">
        <f>IF(F5="LN",EXP(J5),J5)</f>
        <v>9.1061085683768708E-2</v>
      </c>
      <c r="E5" s="1" t="s">
        <v>63</v>
      </c>
      <c r="F5" s="6" t="s">
        <v>71</v>
      </c>
      <c r="G5" s="41">
        <f>LN(0.025*2)</f>
        <v>-2.9957322735539909</v>
      </c>
      <c r="H5" s="6">
        <v>1</v>
      </c>
      <c r="I5" s="40">
        <f>(G5-J5)/H5</f>
        <v>-0.59950754713713916</v>
      </c>
      <c r="J5" s="44">
        <v>-2.3962247264168517</v>
      </c>
      <c r="K5" s="38">
        <v>-99</v>
      </c>
      <c r="L5" s="21">
        <v>99</v>
      </c>
      <c r="M5" s="58">
        <v>6.8697062417079374E-2</v>
      </c>
      <c r="N5" s="59">
        <v>0.33491153010015412</v>
      </c>
      <c r="O5" s="59">
        <v>0.17522372705261369</v>
      </c>
      <c r="P5" s="59">
        <v>0.99999999999999978</v>
      </c>
      <c r="Q5" s="59">
        <v>6.1598262343153957E-2</v>
      </c>
      <c r="R5" s="59">
        <v>4.942651725700499E-2</v>
      </c>
      <c r="S5" s="52"/>
    </row>
    <row r="6" spans="2:19" x14ac:dyDescent="0.2">
      <c r="B6" s="28" t="s">
        <v>38</v>
      </c>
      <c r="D6" s="42">
        <f>IF(F6="LN",EXP(J6),J6)</f>
        <v>0.1267126975356225</v>
      </c>
      <c r="E6" s="1" t="s">
        <v>64</v>
      </c>
      <c r="F6" s="6" t="s">
        <v>71</v>
      </c>
      <c r="G6" s="41">
        <f>LN(1600*0.005*0.025)</f>
        <v>-1.6094379124341003</v>
      </c>
      <c r="H6" s="6">
        <v>0.4</v>
      </c>
      <c r="I6" s="40">
        <f>(G6-J6)/H6</f>
        <v>1.1409876672826573</v>
      </c>
      <c r="J6" s="44">
        <v>-2.0658329793471633</v>
      </c>
      <c r="K6" s="38">
        <v>-99</v>
      </c>
      <c r="L6" s="21">
        <v>99</v>
      </c>
      <c r="M6" s="58">
        <v>0.32345939966871667</v>
      </c>
      <c r="N6" s="59">
        <v>9.2313752761886164E-2</v>
      </c>
      <c r="O6" s="59">
        <v>6.9950742579653363E-2</v>
      </c>
      <c r="P6" s="59">
        <v>6.1598262343153957E-2</v>
      </c>
      <c r="Q6" s="59">
        <v>1</v>
      </c>
      <c r="R6" s="59">
        <v>0.53306332791896627</v>
      </c>
      <c r="S6" s="52"/>
    </row>
    <row r="7" spans="2:19" x14ac:dyDescent="0.2">
      <c r="B7" s="28" t="s">
        <v>108</v>
      </c>
      <c r="D7" s="42">
        <f>IF(F7="LN",EXP(J7),J7)</f>
        <v>1.1968787902942901E-2</v>
      </c>
      <c r="E7" s="1" t="s">
        <v>65</v>
      </c>
      <c r="F7" s="6" t="s">
        <v>71</v>
      </c>
      <c r="G7" s="41">
        <f>LN(0.001)</f>
        <v>-6.9077552789821368</v>
      </c>
      <c r="H7" s="6">
        <v>3</v>
      </c>
      <c r="I7" s="40">
        <f>(G7-J7)/H7</f>
        <v>-0.82743408440047383</v>
      </c>
      <c r="J7" s="44">
        <v>-4.4254530257807154</v>
      </c>
      <c r="K7" s="38">
        <v>-99</v>
      </c>
      <c r="L7" s="21">
        <v>99</v>
      </c>
      <c r="M7" s="58">
        <v>0.84083307346380964</v>
      </c>
      <c r="N7" s="59">
        <v>-2.9566630058170177E-2</v>
      </c>
      <c r="O7" s="59">
        <v>-3.4645493366979273E-2</v>
      </c>
      <c r="P7" s="59">
        <v>4.9426517257005004E-2</v>
      </c>
      <c r="Q7" s="59">
        <v>0.53306332791896627</v>
      </c>
      <c r="R7" s="59">
        <v>0.99999999999999989</v>
      </c>
      <c r="S7" s="52"/>
    </row>
    <row r="8" spans="2:19" x14ac:dyDescent="0.2">
      <c r="B8" s="36"/>
      <c r="C8" s="34"/>
      <c r="E8" s="36"/>
      <c r="F8" s="2"/>
      <c r="G8" s="4"/>
      <c r="H8" s="2"/>
      <c r="L8" s="2"/>
    </row>
    <row r="9" spans="2:19" x14ac:dyDescent="0.2">
      <c r="B9" s="2"/>
      <c r="C9" s="2"/>
      <c r="D9" s="2"/>
      <c r="E9" s="2"/>
      <c r="F9" s="2"/>
      <c r="G9" s="2"/>
      <c r="H9" s="2"/>
      <c r="L9" s="2"/>
    </row>
    <row r="10" spans="2:19" x14ac:dyDescent="0.2">
      <c r="B10" s="76" t="s">
        <v>73</v>
      </c>
      <c r="C10" s="76"/>
      <c r="D10" s="76"/>
      <c r="E10" s="2"/>
      <c r="F10" s="2"/>
      <c r="L10" s="2"/>
    </row>
    <row r="11" spans="2:19" x14ac:dyDescent="0.2">
      <c r="B11" s="22"/>
      <c r="C11" s="22" t="s">
        <v>74</v>
      </c>
      <c r="D11" s="29" t="s">
        <v>76</v>
      </c>
      <c r="E11" s="2"/>
      <c r="F11" s="35" t="s">
        <v>100</v>
      </c>
      <c r="G11" s="40" t="e">
        <f ca="1">SUMSQ(I27:I144)</f>
        <v>#NAME?</v>
      </c>
      <c r="L11" s="2"/>
    </row>
    <row r="12" spans="2:19" x14ac:dyDescent="0.2">
      <c r="B12" s="1" t="s">
        <v>11</v>
      </c>
      <c r="C12" s="43">
        <f>D3/D4</f>
        <v>1.7070630711978826E-2</v>
      </c>
      <c r="D12" s="43">
        <f>C12</f>
        <v>1.7070630711978826E-2</v>
      </c>
      <c r="E12" s="1" t="s">
        <v>61</v>
      </c>
      <c r="F12" s="35" t="s">
        <v>101</v>
      </c>
      <c r="G12" s="40">
        <f>SUMSQ(I3:I7)</f>
        <v>2.6373976815341758</v>
      </c>
      <c r="L12" s="2"/>
    </row>
    <row r="13" spans="2:19" x14ac:dyDescent="0.2">
      <c r="B13" s="1" t="s">
        <v>12</v>
      </c>
      <c r="C13" s="44">
        <f>D5*C12</f>
        <v>1.5544701659394775E-3</v>
      </c>
      <c r="D13" s="43">
        <f>C13</f>
        <v>1.5544701659394775E-3</v>
      </c>
      <c r="E13" s="3" t="s">
        <v>62</v>
      </c>
      <c r="F13" s="35" t="s">
        <v>102</v>
      </c>
      <c r="G13" s="40" t="e">
        <f ca="1">G11+G12</f>
        <v>#NAME?</v>
      </c>
      <c r="L13" s="2"/>
    </row>
    <row r="14" spans="2:19" x14ac:dyDescent="0.2">
      <c r="B14" s="1" t="s">
        <v>55</v>
      </c>
      <c r="C14" s="44">
        <f>1+D6/D4</f>
        <v>1.8442173704244289</v>
      </c>
      <c r="D14" s="31">
        <v>1</v>
      </c>
      <c r="E14" s="3" t="s">
        <v>41</v>
      </c>
      <c r="F14" s="3"/>
      <c r="L14" s="2"/>
    </row>
    <row r="15" spans="2:19" x14ac:dyDescent="0.2">
      <c r="B15" s="1" t="s">
        <v>109</v>
      </c>
      <c r="C15" s="44">
        <f>D7+D6/D4*C16</f>
        <v>1.1968787902942901E-2</v>
      </c>
      <c r="D15" s="31">
        <v>0</v>
      </c>
      <c r="E15" s="3" t="s">
        <v>65</v>
      </c>
      <c r="F15" s="35" t="s">
        <v>83</v>
      </c>
      <c r="G15" s="40" t="e">
        <f ca="1">SUMSQ(I77:I144)/(COUNT(I77:I144)-G17)</f>
        <v>#NAME?</v>
      </c>
      <c r="L15" s="2"/>
    </row>
    <row r="16" spans="2:19" x14ac:dyDescent="0.2">
      <c r="B16" s="36" t="s">
        <v>107</v>
      </c>
      <c r="C16" s="60">
        <v>0</v>
      </c>
      <c r="D16" s="31">
        <v>0</v>
      </c>
      <c r="E16" s="1" t="s">
        <v>65</v>
      </c>
      <c r="F16" s="35" t="s">
        <v>84</v>
      </c>
      <c r="G16" s="46">
        <f ca="1">COUNT(I27:I144)</f>
        <v>0</v>
      </c>
      <c r="L16" s="2"/>
    </row>
    <row r="17" spans="2:26" x14ac:dyDescent="0.2">
      <c r="B17" s="1" t="s">
        <v>54</v>
      </c>
      <c r="C17" s="30">
        <v>0</v>
      </c>
      <c r="D17" s="31">
        <v>0</v>
      </c>
      <c r="E17" s="3" t="s">
        <v>67</v>
      </c>
      <c r="F17" s="35" t="s">
        <v>85</v>
      </c>
      <c r="G17" s="46">
        <f>COUNT(G3:G7)</f>
        <v>5</v>
      </c>
      <c r="L17" s="2"/>
    </row>
    <row r="18" spans="2:26" x14ac:dyDescent="0.2">
      <c r="B18" s="1" t="s">
        <v>57</v>
      </c>
      <c r="C18" s="6">
        <v>0</v>
      </c>
      <c r="D18" s="32">
        <f>C18</f>
        <v>0</v>
      </c>
      <c r="E18" s="3" t="s">
        <v>66</v>
      </c>
      <c r="F18" s="35" t="s">
        <v>88</v>
      </c>
      <c r="G18" s="46">
        <f>AVERAGE(C27:C144)</f>
        <v>1.8474406779661017</v>
      </c>
      <c r="L18" s="2"/>
    </row>
    <row r="19" spans="2:26" x14ac:dyDescent="0.2">
      <c r="B19" s="1" t="s">
        <v>58</v>
      </c>
      <c r="C19" s="6">
        <v>100</v>
      </c>
      <c r="D19" s="32">
        <v>10</v>
      </c>
      <c r="E19" s="3" t="s">
        <v>66</v>
      </c>
      <c r="F19" s="35" t="s">
        <v>89</v>
      </c>
      <c r="G19" s="46">
        <f>AVERAGE(B27:B144)</f>
        <v>250.42372881355934</v>
      </c>
      <c r="L19" s="2"/>
    </row>
    <row r="20" spans="2:26" x14ac:dyDescent="0.2">
      <c r="B20" s="1" t="s">
        <v>22</v>
      </c>
      <c r="C20" s="6">
        <v>30</v>
      </c>
      <c r="D20" s="32">
        <f>C20</f>
        <v>30</v>
      </c>
      <c r="E20" s="3" t="s">
        <v>68</v>
      </c>
      <c r="F20" s="35" t="s">
        <v>116</v>
      </c>
      <c r="G20" s="75">
        <v>0.95</v>
      </c>
      <c r="L20" s="2"/>
    </row>
    <row r="21" spans="2:26" x14ac:dyDescent="0.2">
      <c r="B21" s="19"/>
      <c r="C21" s="19"/>
      <c r="D21" s="19"/>
      <c r="E21" s="19"/>
      <c r="F21" s="35" t="s">
        <v>115</v>
      </c>
      <c r="G21" s="74">
        <v>2</v>
      </c>
    </row>
    <row r="22" spans="2:26" x14ac:dyDescent="0.2">
      <c r="B22" s="48" t="s">
        <v>94</v>
      </c>
      <c r="C22" s="19"/>
      <c r="D22" s="50" t="s">
        <v>95</v>
      </c>
      <c r="E22" s="19"/>
      <c r="F22" s="49" t="s">
        <v>90</v>
      </c>
      <c r="G22" s="45" t="e">
        <f ca="1">TINV(IF(G21=2,1,2)*(1-G20),G16-G17)</f>
        <v>#NUM!</v>
      </c>
    </row>
    <row r="23" spans="2:26" x14ac:dyDescent="0.2">
      <c r="B23" s="48" t="s">
        <v>93</v>
      </c>
      <c r="C23" s="19"/>
      <c r="D23" s="51">
        <v>1E-3</v>
      </c>
      <c r="E23" s="3" t="s">
        <v>66</v>
      </c>
      <c r="F23" s="48" t="s">
        <v>97</v>
      </c>
      <c r="G23" s="44" t="e">
        <f ca="1">SQRT(SUMSQ(I77:I144)/(COUNT(I77:I144)-1))</f>
        <v>#NAME?</v>
      </c>
      <c r="Y23" s="77" t="s">
        <v>96</v>
      </c>
      <c r="Z23" s="76"/>
    </row>
    <row r="24" spans="2:26" x14ac:dyDescent="0.2">
      <c r="B24" s="19"/>
      <c r="C24" s="19"/>
      <c r="D24"/>
      <c r="E24" s="19"/>
      <c r="F24" s="48" t="s">
        <v>98</v>
      </c>
      <c r="G24" s="44" t="e">
        <f ca="1">SQRT(SUMSQ(I27:I76)/(COUNT(I27:I76)-1))</f>
        <v>#NAME?</v>
      </c>
      <c r="X24" s="36"/>
      <c r="Y24" s="27">
        <f>SUMSQ(Y27:Y144)</f>
        <v>22.753629084745764</v>
      </c>
      <c r="Z24" s="27">
        <f>SUMSQ(Z27:Z144)</f>
        <v>2197478.8135593217</v>
      </c>
    </row>
    <row r="25" spans="2:26" x14ac:dyDescent="0.2">
      <c r="D25" s="23"/>
      <c r="E25" s="23"/>
      <c r="F25" s="2"/>
    </row>
    <row r="26" spans="2:26" s="56" customFormat="1" ht="51.75" thickBot="1" x14ac:dyDescent="0.25">
      <c r="B26" s="53" t="s">
        <v>21</v>
      </c>
      <c r="C26" s="53" t="s">
        <v>20</v>
      </c>
      <c r="D26" s="54" t="s">
        <v>75</v>
      </c>
      <c r="E26" s="53" t="s">
        <v>59</v>
      </c>
      <c r="F26" s="53" t="s">
        <v>56</v>
      </c>
      <c r="G26" s="53" t="s">
        <v>60</v>
      </c>
      <c r="H26" s="55" t="s">
        <v>79</v>
      </c>
      <c r="I26" s="55" t="s">
        <v>99</v>
      </c>
      <c r="J26" s="55" t="s">
        <v>80</v>
      </c>
      <c r="K26" s="64" t="s">
        <v>112</v>
      </c>
      <c r="L26" s="55" t="s">
        <v>104</v>
      </c>
      <c r="M26" s="55" t="s">
        <v>105</v>
      </c>
      <c r="N26" s="55" t="s">
        <v>106</v>
      </c>
      <c r="O26" s="55" t="s">
        <v>91</v>
      </c>
      <c r="P26" s="55" t="s">
        <v>92</v>
      </c>
      <c r="Q26" s="63" t="s">
        <v>110</v>
      </c>
      <c r="R26" s="61" t="s">
        <v>111</v>
      </c>
      <c r="Y26" s="57" t="s">
        <v>86</v>
      </c>
      <c r="Z26" s="57" t="s">
        <v>87</v>
      </c>
    </row>
    <row r="27" spans="2:26" x14ac:dyDescent="0.2">
      <c r="B27" s="25">
        <v>10</v>
      </c>
      <c r="C27" s="24">
        <v>2</v>
      </c>
      <c r="D27" s="2" t="s">
        <v>76</v>
      </c>
      <c r="E27" s="2" t="s">
        <v>17</v>
      </c>
      <c r="F27" s="21">
        <v>1E-3</v>
      </c>
      <c r="G27" s="21" t="e">
        <f t="shared" ref="G27:G58" ca="1" si="0">MAX(D$23,cde(C27,B27,D$20,D$12,D$13,D$14,D$15,D$17,E27,D$18,D$19))</f>
        <v>#NAME?</v>
      </c>
      <c r="H27" s="21">
        <v>1</v>
      </c>
      <c r="I27" s="27" t="e">
        <f ca="1">IF(D$22="yes",(LN(F27)-LN(G27)),(F27-G27))</f>
        <v>#NAME?</v>
      </c>
      <c r="J27" s="27" t="e">
        <f ca="1">I27/H27</f>
        <v>#NAME?</v>
      </c>
      <c r="K27" s="21" t="e">
        <f ca="1">IF(D$22="yes",LN(G27),G27)</f>
        <v>#NAME?</v>
      </c>
      <c r="L27" s="2">
        <v>0</v>
      </c>
      <c r="M27" s="47" t="e">
        <f t="shared" ref="M27:M58" ca="1" si="1">G$15*(1+1/$G$16+(C27-$G$18)^2/Y$24+(B27-$G$19)^2/Z$24)</f>
        <v>#NAME?</v>
      </c>
      <c r="N27" s="47" t="e">
        <f ca="1">SQRT(L27)+SQRT(M27)</f>
        <v>#NAME?</v>
      </c>
      <c r="O27" s="47" t="e">
        <f t="shared" ref="O27:O58" ca="1" si="2">IF(D$22="yes",EXP(LN(G27)-G$22*N27),G27-G$22*N27)</f>
        <v>#NAME?</v>
      </c>
      <c r="P27" s="47" t="e">
        <f t="shared" ref="P27:P58" ca="1" si="3">IF(D$22="yes",EXP(LN(G27)+G$22*N27),G27-G$22*N27)</f>
        <v>#NAME?</v>
      </c>
      <c r="Q27" s="62" t="e">
        <f ca="1">P27-G27</f>
        <v>#NAME?</v>
      </c>
      <c r="R27" s="62" t="e">
        <f ca="1">G27-O27</f>
        <v>#NAME?</v>
      </c>
      <c r="Y27" s="24">
        <f>C27-$G$18</f>
        <v>0.15255932203389833</v>
      </c>
      <c r="Z27" s="25">
        <f>B27-$G$19</f>
        <v>-240.42372881355934</v>
      </c>
    </row>
    <row r="28" spans="2:26" x14ac:dyDescent="0.2">
      <c r="B28" s="25">
        <f>10+B27</f>
        <v>20</v>
      </c>
      <c r="C28" s="24">
        <v>2</v>
      </c>
      <c r="D28" s="2" t="s">
        <v>76</v>
      </c>
      <c r="E28" s="2" t="s">
        <v>17</v>
      </c>
      <c r="F28" s="21">
        <v>1E-3</v>
      </c>
      <c r="G28" s="21" t="e">
        <f t="shared" ca="1" si="0"/>
        <v>#NAME?</v>
      </c>
      <c r="H28" s="21">
        <v>1</v>
      </c>
      <c r="I28" s="27" t="e">
        <f t="shared" ref="I28:I91" ca="1" si="4">IF(D$22="yes",(LN(F28)-LN(G28)),(F28-G28))</f>
        <v>#NAME?</v>
      </c>
      <c r="J28" s="27" t="e">
        <f t="shared" ref="J28:J91" ca="1" si="5">I28/H28</f>
        <v>#NAME?</v>
      </c>
      <c r="K28" s="21" t="e">
        <f t="shared" ref="K28:K91" ca="1" si="6">IF(D$22="yes",LN(G28),G28)</f>
        <v>#NAME?</v>
      </c>
      <c r="L28" s="2">
        <v>0</v>
      </c>
      <c r="M28" s="47" t="e">
        <f t="shared" ca="1" si="1"/>
        <v>#NAME?</v>
      </c>
      <c r="N28" s="47" t="e">
        <f t="shared" ref="N28:N91" ca="1" si="7">SQRT(L28)+SQRT(M28)</f>
        <v>#NAME?</v>
      </c>
      <c r="O28" s="47" t="e">
        <f t="shared" ca="1" si="2"/>
        <v>#NAME?</v>
      </c>
      <c r="P28" s="47" t="e">
        <f t="shared" ca="1" si="3"/>
        <v>#NAME?</v>
      </c>
      <c r="Q28" s="62" t="e">
        <f t="shared" ref="Q28:Q91" ca="1" si="8">P28-G28</f>
        <v>#NAME?</v>
      </c>
      <c r="R28" s="62" t="e">
        <f t="shared" ref="R28:R91" ca="1" si="9">G28-O28</f>
        <v>#NAME?</v>
      </c>
      <c r="Y28" s="24">
        <f t="shared" ref="Y28:Y91" si="10">C28-$G$18</f>
        <v>0.15255932203389833</v>
      </c>
      <c r="Z28" s="25">
        <f t="shared" ref="Z28:Z91" si="11">B28-$G$19</f>
        <v>-230.42372881355934</v>
      </c>
    </row>
    <row r="29" spans="2:26" x14ac:dyDescent="0.2">
      <c r="B29" s="25">
        <f t="shared" ref="B29:B46" si="12">10+B28</f>
        <v>30</v>
      </c>
      <c r="C29" s="24">
        <v>2</v>
      </c>
      <c r="D29" s="2" t="s">
        <v>76</v>
      </c>
      <c r="E29" s="2" t="s">
        <v>17</v>
      </c>
      <c r="F29" s="21">
        <v>1E-3</v>
      </c>
      <c r="G29" s="21" t="e">
        <f t="shared" ca="1" si="0"/>
        <v>#NAME?</v>
      </c>
      <c r="H29" s="21">
        <v>1</v>
      </c>
      <c r="I29" s="27" t="e">
        <f t="shared" ca="1" si="4"/>
        <v>#NAME?</v>
      </c>
      <c r="J29" s="27" t="e">
        <f t="shared" ca="1" si="5"/>
        <v>#NAME?</v>
      </c>
      <c r="K29" s="21" t="e">
        <f t="shared" ca="1" si="6"/>
        <v>#NAME?</v>
      </c>
      <c r="L29" s="2">
        <v>0</v>
      </c>
      <c r="M29" s="47" t="e">
        <f t="shared" ca="1" si="1"/>
        <v>#NAME?</v>
      </c>
      <c r="N29" s="47" t="e">
        <f t="shared" ca="1" si="7"/>
        <v>#NAME?</v>
      </c>
      <c r="O29" s="47" t="e">
        <f t="shared" ca="1" si="2"/>
        <v>#NAME?</v>
      </c>
      <c r="P29" s="47" t="e">
        <f t="shared" ca="1" si="3"/>
        <v>#NAME?</v>
      </c>
      <c r="Q29" s="62" t="e">
        <f t="shared" ca="1" si="8"/>
        <v>#NAME?</v>
      </c>
      <c r="R29" s="62" t="e">
        <f t="shared" ca="1" si="9"/>
        <v>#NAME?</v>
      </c>
      <c r="Y29" s="24">
        <f t="shared" si="10"/>
        <v>0.15255932203389833</v>
      </c>
      <c r="Z29" s="25">
        <f t="shared" si="11"/>
        <v>-220.42372881355934</v>
      </c>
    </row>
    <row r="30" spans="2:26" x14ac:dyDescent="0.2">
      <c r="B30" s="25">
        <f t="shared" si="12"/>
        <v>40</v>
      </c>
      <c r="C30" s="24">
        <v>2</v>
      </c>
      <c r="D30" s="2" t="s">
        <v>76</v>
      </c>
      <c r="E30" s="2" t="s">
        <v>17</v>
      </c>
      <c r="F30" s="21">
        <v>1E-3</v>
      </c>
      <c r="G30" s="21" t="e">
        <f t="shared" ca="1" si="0"/>
        <v>#NAME?</v>
      </c>
      <c r="H30" s="21">
        <v>1</v>
      </c>
      <c r="I30" s="27" t="e">
        <f t="shared" ca="1" si="4"/>
        <v>#NAME?</v>
      </c>
      <c r="J30" s="27" t="e">
        <f t="shared" ca="1" si="5"/>
        <v>#NAME?</v>
      </c>
      <c r="K30" s="21" t="e">
        <f t="shared" ca="1" si="6"/>
        <v>#NAME?</v>
      </c>
      <c r="L30" s="2">
        <v>0.47942140989662518</v>
      </c>
      <c r="M30" s="47" t="e">
        <f t="shared" ca="1" si="1"/>
        <v>#NAME?</v>
      </c>
      <c r="N30" s="47" t="e">
        <f t="shared" ca="1" si="7"/>
        <v>#NAME?</v>
      </c>
      <c r="O30" s="47" t="e">
        <f t="shared" ca="1" si="2"/>
        <v>#NAME?</v>
      </c>
      <c r="P30" s="47" t="e">
        <f t="shared" ca="1" si="3"/>
        <v>#NAME?</v>
      </c>
      <c r="Q30" s="62" t="e">
        <f t="shared" ca="1" si="8"/>
        <v>#NAME?</v>
      </c>
      <c r="R30" s="62" t="e">
        <f t="shared" ca="1" si="9"/>
        <v>#NAME?</v>
      </c>
      <c r="Y30" s="24">
        <f t="shared" si="10"/>
        <v>0.15255932203389833</v>
      </c>
      <c r="Z30" s="25">
        <f t="shared" si="11"/>
        <v>-210.42372881355934</v>
      </c>
    </row>
    <row r="31" spans="2:26" x14ac:dyDescent="0.2">
      <c r="B31" s="25">
        <f t="shared" si="12"/>
        <v>50</v>
      </c>
      <c r="C31" s="24">
        <v>2</v>
      </c>
      <c r="D31" s="2" t="s">
        <v>76</v>
      </c>
      <c r="E31" s="2" t="s">
        <v>17</v>
      </c>
      <c r="F31" s="21">
        <v>0.02</v>
      </c>
      <c r="G31" s="21" t="e">
        <f t="shared" ca="1" si="0"/>
        <v>#NAME?</v>
      </c>
      <c r="H31" s="21">
        <v>1</v>
      </c>
      <c r="I31" s="27" t="e">
        <f t="shared" ca="1" si="4"/>
        <v>#NAME?</v>
      </c>
      <c r="J31" s="27" t="e">
        <f t="shared" ca="1" si="5"/>
        <v>#NAME?</v>
      </c>
      <c r="K31" s="21" t="e">
        <f t="shared" ca="1" si="6"/>
        <v>#NAME?</v>
      </c>
      <c r="L31" s="2">
        <v>0.27472116077986936</v>
      </c>
      <c r="M31" s="47" t="e">
        <f t="shared" ca="1" si="1"/>
        <v>#NAME?</v>
      </c>
      <c r="N31" s="47" t="e">
        <f t="shared" ca="1" si="7"/>
        <v>#NAME?</v>
      </c>
      <c r="O31" s="47" t="e">
        <f t="shared" ca="1" si="2"/>
        <v>#NAME?</v>
      </c>
      <c r="P31" s="47" t="e">
        <f t="shared" ca="1" si="3"/>
        <v>#NAME?</v>
      </c>
      <c r="Q31" s="62" t="e">
        <f t="shared" ca="1" si="8"/>
        <v>#NAME?</v>
      </c>
      <c r="R31" s="62" t="e">
        <f t="shared" ca="1" si="9"/>
        <v>#NAME?</v>
      </c>
      <c r="Y31" s="24">
        <f t="shared" si="10"/>
        <v>0.15255932203389833</v>
      </c>
      <c r="Z31" s="25">
        <f t="shared" si="11"/>
        <v>-200.42372881355934</v>
      </c>
    </row>
    <row r="32" spans="2:26" x14ac:dyDescent="0.2">
      <c r="B32" s="25">
        <f t="shared" si="12"/>
        <v>60</v>
      </c>
      <c r="C32" s="24">
        <v>2</v>
      </c>
      <c r="D32" s="2" t="s">
        <v>76</v>
      </c>
      <c r="E32" s="2" t="s">
        <v>17</v>
      </c>
      <c r="F32" s="21">
        <v>0.12</v>
      </c>
      <c r="G32" s="21" t="e">
        <f t="shared" ca="1" si="0"/>
        <v>#NAME?</v>
      </c>
      <c r="H32" s="21">
        <v>1</v>
      </c>
      <c r="I32" s="27" t="e">
        <f t="shared" ca="1" si="4"/>
        <v>#NAME?</v>
      </c>
      <c r="J32" s="27" t="e">
        <f t="shared" ca="1" si="5"/>
        <v>#NAME?</v>
      </c>
      <c r="K32" s="21" t="e">
        <f t="shared" ca="1" si="6"/>
        <v>#NAME?</v>
      </c>
      <c r="L32" s="2">
        <v>0.13704649001491656</v>
      </c>
      <c r="M32" s="47" t="e">
        <f t="shared" ca="1" si="1"/>
        <v>#NAME?</v>
      </c>
      <c r="N32" s="47" t="e">
        <f t="shared" ca="1" si="7"/>
        <v>#NAME?</v>
      </c>
      <c r="O32" s="47" t="e">
        <f t="shared" ca="1" si="2"/>
        <v>#NAME?</v>
      </c>
      <c r="P32" s="47" t="e">
        <f t="shared" ca="1" si="3"/>
        <v>#NAME?</v>
      </c>
      <c r="Q32" s="62" t="e">
        <f t="shared" ca="1" si="8"/>
        <v>#NAME?</v>
      </c>
      <c r="R32" s="62" t="e">
        <f t="shared" ca="1" si="9"/>
        <v>#NAME?</v>
      </c>
      <c r="Y32" s="24">
        <f t="shared" si="10"/>
        <v>0.15255932203389833</v>
      </c>
      <c r="Z32" s="25">
        <f t="shared" si="11"/>
        <v>-190.42372881355934</v>
      </c>
    </row>
    <row r="33" spans="2:26" x14ac:dyDescent="0.2">
      <c r="B33" s="25">
        <f t="shared" si="12"/>
        <v>70</v>
      </c>
      <c r="C33" s="24">
        <v>2</v>
      </c>
      <c r="D33" s="2" t="s">
        <v>76</v>
      </c>
      <c r="E33" s="2" t="s">
        <v>17</v>
      </c>
      <c r="F33" s="21">
        <v>0.45</v>
      </c>
      <c r="G33" s="21" t="e">
        <f t="shared" ca="1" si="0"/>
        <v>#NAME?</v>
      </c>
      <c r="H33" s="21">
        <v>1</v>
      </c>
      <c r="I33" s="27" t="e">
        <f t="shared" ca="1" si="4"/>
        <v>#NAME?</v>
      </c>
      <c r="J33" s="27" t="e">
        <f t="shared" ca="1" si="5"/>
        <v>#NAME?</v>
      </c>
      <c r="K33" s="21" t="e">
        <f t="shared" ca="1" si="6"/>
        <v>#NAME?</v>
      </c>
      <c r="L33" s="2">
        <v>7.0866273971128046E-2</v>
      </c>
      <c r="M33" s="47" t="e">
        <f t="shared" ca="1" si="1"/>
        <v>#NAME?</v>
      </c>
      <c r="N33" s="47" t="e">
        <f t="shared" ca="1" si="7"/>
        <v>#NAME?</v>
      </c>
      <c r="O33" s="47" t="e">
        <f t="shared" ca="1" si="2"/>
        <v>#NAME?</v>
      </c>
      <c r="P33" s="47" t="e">
        <f t="shared" ca="1" si="3"/>
        <v>#NAME?</v>
      </c>
      <c r="Q33" s="62" t="e">
        <f t="shared" ca="1" si="8"/>
        <v>#NAME?</v>
      </c>
      <c r="R33" s="62" t="e">
        <f t="shared" ca="1" si="9"/>
        <v>#NAME?</v>
      </c>
      <c r="Y33" s="24">
        <f t="shared" si="10"/>
        <v>0.15255932203389833</v>
      </c>
      <c r="Z33" s="25">
        <f t="shared" si="11"/>
        <v>-180.42372881355934</v>
      </c>
    </row>
    <row r="34" spans="2:26" x14ac:dyDescent="0.2">
      <c r="B34" s="25">
        <f t="shared" si="12"/>
        <v>80</v>
      </c>
      <c r="C34" s="24">
        <v>2</v>
      </c>
      <c r="D34" s="2" t="s">
        <v>76</v>
      </c>
      <c r="E34" s="2" t="s">
        <v>17</v>
      </c>
      <c r="F34" s="21">
        <v>1.07</v>
      </c>
      <c r="G34" s="21" t="e">
        <f t="shared" ca="1" si="0"/>
        <v>#NAME?</v>
      </c>
      <c r="H34" s="21">
        <v>1</v>
      </c>
      <c r="I34" s="27" t="e">
        <f t="shared" ca="1" si="4"/>
        <v>#NAME?</v>
      </c>
      <c r="J34" s="27" t="e">
        <f t="shared" ca="1" si="5"/>
        <v>#NAME?</v>
      </c>
      <c r="K34" s="21" t="e">
        <f t="shared" ca="1" si="6"/>
        <v>#NAME?</v>
      </c>
      <c r="L34" s="2">
        <v>3.6100381018835989E-2</v>
      </c>
      <c r="M34" s="47" t="e">
        <f t="shared" ca="1" si="1"/>
        <v>#NAME?</v>
      </c>
      <c r="N34" s="47" t="e">
        <f t="shared" ca="1" si="7"/>
        <v>#NAME?</v>
      </c>
      <c r="O34" s="47" t="e">
        <f t="shared" ca="1" si="2"/>
        <v>#NAME?</v>
      </c>
      <c r="P34" s="47" t="e">
        <f t="shared" ca="1" si="3"/>
        <v>#NAME?</v>
      </c>
      <c r="Q34" s="62" t="e">
        <f t="shared" ca="1" si="8"/>
        <v>#NAME?</v>
      </c>
      <c r="R34" s="62" t="e">
        <f t="shared" ca="1" si="9"/>
        <v>#NAME?</v>
      </c>
      <c r="Y34" s="24">
        <f t="shared" si="10"/>
        <v>0.15255932203389833</v>
      </c>
      <c r="Z34" s="25">
        <f t="shared" si="11"/>
        <v>-170.42372881355934</v>
      </c>
    </row>
    <row r="35" spans="2:26" x14ac:dyDescent="0.2">
      <c r="B35" s="25">
        <f t="shared" si="12"/>
        <v>90</v>
      </c>
      <c r="C35" s="24">
        <v>2</v>
      </c>
      <c r="D35" s="2" t="s">
        <v>76</v>
      </c>
      <c r="E35" s="2" t="s">
        <v>17</v>
      </c>
      <c r="F35" s="21">
        <v>1.95</v>
      </c>
      <c r="G35" s="21" t="e">
        <f t="shared" ca="1" si="0"/>
        <v>#NAME?</v>
      </c>
      <c r="H35" s="21">
        <v>1</v>
      </c>
      <c r="I35" s="27" t="e">
        <f t="shared" ca="1" si="4"/>
        <v>#NAME?</v>
      </c>
      <c r="J35" s="27" t="e">
        <f t="shared" ca="1" si="5"/>
        <v>#NAME?</v>
      </c>
      <c r="K35" s="21" t="e">
        <f t="shared" ca="1" si="6"/>
        <v>#NAME?</v>
      </c>
      <c r="L35" s="2">
        <v>1.7015278113972934E-2</v>
      </c>
      <c r="M35" s="47" t="e">
        <f t="shared" ca="1" si="1"/>
        <v>#NAME?</v>
      </c>
      <c r="N35" s="47" t="e">
        <f t="shared" ca="1" si="7"/>
        <v>#NAME?</v>
      </c>
      <c r="O35" s="47" t="e">
        <f t="shared" ca="1" si="2"/>
        <v>#NAME?</v>
      </c>
      <c r="P35" s="47" t="e">
        <f t="shared" ca="1" si="3"/>
        <v>#NAME?</v>
      </c>
      <c r="Q35" s="62" t="e">
        <f t="shared" ca="1" si="8"/>
        <v>#NAME?</v>
      </c>
      <c r="R35" s="62" t="e">
        <f t="shared" ca="1" si="9"/>
        <v>#NAME?</v>
      </c>
      <c r="Y35" s="24">
        <f t="shared" si="10"/>
        <v>0.15255932203389833</v>
      </c>
      <c r="Z35" s="25">
        <f t="shared" si="11"/>
        <v>-160.42372881355934</v>
      </c>
    </row>
    <row r="36" spans="2:26" x14ac:dyDescent="0.2">
      <c r="B36" s="25">
        <f t="shared" si="12"/>
        <v>100</v>
      </c>
      <c r="C36" s="24">
        <v>2</v>
      </c>
      <c r="D36" s="2" t="s">
        <v>76</v>
      </c>
      <c r="E36" s="2" t="s">
        <v>17</v>
      </c>
      <c r="F36" s="21">
        <v>2.88</v>
      </c>
      <c r="G36" s="21" t="e">
        <f t="shared" ca="1" si="0"/>
        <v>#NAME?</v>
      </c>
      <c r="H36" s="21">
        <v>1</v>
      </c>
      <c r="I36" s="27" t="e">
        <f t="shared" ca="1" si="4"/>
        <v>#NAME?</v>
      </c>
      <c r="J36" s="27" t="e">
        <f t="shared" ca="1" si="5"/>
        <v>#NAME?</v>
      </c>
      <c r="K36" s="21" t="e">
        <f t="shared" ca="1" si="6"/>
        <v>#NAME?</v>
      </c>
      <c r="L36" s="2">
        <v>7.0205969511834684E-3</v>
      </c>
      <c r="M36" s="47" t="e">
        <f t="shared" ca="1" si="1"/>
        <v>#NAME?</v>
      </c>
      <c r="N36" s="47" t="e">
        <f t="shared" ca="1" si="7"/>
        <v>#NAME?</v>
      </c>
      <c r="O36" s="47" t="e">
        <f t="shared" ca="1" si="2"/>
        <v>#NAME?</v>
      </c>
      <c r="P36" s="47" t="e">
        <f t="shared" ca="1" si="3"/>
        <v>#NAME?</v>
      </c>
      <c r="Q36" s="62" t="e">
        <f t="shared" ca="1" si="8"/>
        <v>#NAME?</v>
      </c>
      <c r="R36" s="62" t="e">
        <f t="shared" ca="1" si="9"/>
        <v>#NAME?</v>
      </c>
      <c r="Y36" s="24">
        <f t="shared" si="10"/>
        <v>0.15255932203389833</v>
      </c>
      <c r="Z36" s="25">
        <f t="shared" si="11"/>
        <v>-150.42372881355934</v>
      </c>
    </row>
    <row r="37" spans="2:26" x14ac:dyDescent="0.2">
      <c r="B37" s="25">
        <f t="shared" si="12"/>
        <v>110</v>
      </c>
      <c r="C37" s="24">
        <v>2</v>
      </c>
      <c r="D37" s="2" t="s">
        <v>76</v>
      </c>
      <c r="E37" s="2" t="s">
        <v>17</v>
      </c>
      <c r="F37" s="21">
        <v>3.36</v>
      </c>
      <c r="G37" s="21" t="e">
        <f t="shared" ca="1" si="0"/>
        <v>#NAME?</v>
      </c>
      <c r="H37" s="21">
        <v>1</v>
      </c>
      <c r="I37" s="27" t="e">
        <f t="shared" ca="1" si="4"/>
        <v>#NAME?</v>
      </c>
      <c r="J37" s="27" t="e">
        <f t="shared" ca="1" si="5"/>
        <v>#NAME?</v>
      </c>
      <c r="K37" s="21" t="e">
        <f t="shared" ca="1" si="6"/>
        <v>#NAME?</v>
      </c>
      <c r="L37" s="2">
        <v>2.4364354084477672E-3</v>
      </c>
      <c r="M37" s="47" t="e">
        <f t="shared" ca="1" si="1"/>
        <v>#NAME?</v>
      </c>
      <c r="N37" s="47" t="e">
        <f t="shared" ca="1" si="7"/>
        <v>#NAME?</v>
      </c>
      <c r="O37" s="47" t="e">
        <f t="shared" ca="1" si="2"/>
        <v>#NAME?</v>
      </c>
      <c r="P37" s="47" t="e">
        <f t="shared" ca="1" si="3"/>
        <v>#NAME?</v>
      </c>
      <c r="Q37" s="62" t="e">
        <f t="shared" ca="1" si="8"/>
        <v>#NAME?</v>
      </c>
      <c r="R37" s="62" t="e">
        <f t="shared" ca="1" si="9"/>
        <v>#NAME?</v>
      </c>
      <c r="Y37" s="24">
        <f t="shared" si="10"/>
        <v>0.15255932203389833</v>
      </c>
      <c r="Z37" s="25">
        <f t="shared" si="11"/>
        <v>-140.42372881355934</v>
      </c>
    </row>
    <row r="38" spans="2:26" x14ac:dyDescent="0.2">
      <c r="B38" s="25">
        <f t="shared" si="12"/>
        <v>120</v>
      </c>
      <c r="C38" s="24">
        <v>2</v>
      </c>
      <c r="D38" s="2" t="s">
        <v>76</v>
      </c>
      <c r="E38" s="2" t="s">
        <v>17</v>
      </c>
      <c r="F38" s="21">
        <v>3.49</v>
      </c>
      <c r="G38" s="21" t="e">
        <f t="shared" ca="1" si="0"/>
        <v>#NAME?</v>
      </c>
      <c r="H38" s="21">
        <v>1</v>
      </c>
      <c r="I38" s="27" t="e">
        <f t="shared" ca="1" si="4"/>
        <v>#NAME?</v>
      </c>
      <c r="J38" s="27" t="e">
        <f t="shared" ca="1" si="5"/>
        <v>#NAME?</v>
      </c>
      <c r="K38" s="21" t="e">
        <f t="shared" ca="1" si="6"/>
        <v>#NAME?</v>
      </c>
      <c r="L38" s="2">
        <v>9.0520067787982605E-4</v>
      </c>
      <c r="M38" s="47" t="e">
        <f t="shared" ca="1" si="1"/>
        <v>#NAME?</v>
      </c>
      <c r="N38" s="47" t="e">
        <f t="shared" ca="1" si="7"/>
        <v>#NAME?</v>
      </c>
      <c r="O38" s="47" t="e">
        <f t="shared" ca="1" si="2"/>
        <v>#NAME?</v>
      </c>
      <c r="P38" s="47" t="e">
        <f t="shared" ca="1" si="3"/>
        <v>#NAME?</v>
      </c>
      <c r="Q38" s="62" t="e">
        <f t="shared" ca="1" si="8"/>
        <v>#NAME?</v>
      </c>
      <c r="R38" s="62" t="e">
        <f t="shared" ca="1" si="9"/>
        <v>#NAME?</v>
      </c>
      <c r="Y38" s="24">
        <f t="shared" si="10"/>
        <v>0.15255932203389833</v>
      </c>
      <c r="Z38" s="25">
        <f t="shared" si="11"/>
        <v>-130.42372881355934</v>
      </c>
    </row>
    <row r="39" spans="2:26" x14ac:dyDescent="0.2">
      <c r="B39" s="25">
        <f t="shared" si="12"/>
        <v>130</v>
      </c>
      <c r="C39" s="24">
        <v>2</v>
      </c>
      <c r="D39" s="2" t="s">
        <v>76</v>
      </c>
      <c r="E39" s="2" t="s">
        <v>17</v>
      </c>
      <c r="F39" s="21">
        <v>3.58</v>
      </c>
      <c r="G39" s="21" t="e">
        <f t="shared" ca="1" si="0"/>
        <v>#NAME?</v>
      </c>
      <c r="H39" s="21">
        <v>1</v>
      </c>
      <c r="I39" s="27" t="e">
        <f t="shared" ca="1" si="4"/>
        <v>#NAME?</v>
      </c>
      <c r="J39" s="27" t="e">
        <f t="shared" ca="1" si="5"/>
        <v>#NAME?</v>
      </c>
      <c r="K39" s="21" t="e">
        <f t="shared" ca="1" si="6"/>
        <v>#NAME?</v>
      </c>
      <c r="L39" s="2">
        <v>9.8053464131498368E-4</v>
      </c>
      <c r="M39" s="47" t="e">
        <f t="shared" ca="1" si="1"/>
        <v>#NAME?</v>
      </c>
      <c r="N39" s="47" t="e">
        <f t="shared" ca="1" si="7"/>
        <v>#NAME?</v>
      </c>
      <c r="O39" s="47" t="e">
        <f t="shared" ca="1" si="2"/>
        <v>#NAME?</v>
      </c>
      <c r="P39" s="47" t="e">
        <f t="shared" ca="1" si="3"/>
        <v>#NAME?</v>
      </c>
      <c r="Q39" s="62" t="e">
        <f t="shared" ca="1" si="8"/>
        <v>#NAME?</v>
      </c>
      <c r="R39" s="62" t="e">
        <f t="shared" ca="1" si="9"/>
        <v>#NAME?</v>
      </c>
      <c r="Y39" s="24">
        <f t="shared" si="10"/>
        <v>0.15255932203389833</v>
      </c>
      <c r="Z39" s="25">
        <f t="shared" si="11"/>
        <v>-120.42372881355934</v>
      </c>
    </row>
    <row r="40" spans="2:26" x14ac:dyDescent="0.2">
      <c r="B40" s="25">
        <f t="shared" si="12"/>
        <v>140</v>
      </c>
      <c r="C40" s="24">
        <v>2</v>
      </c>
      <c r="D40" s="2" t="s">
        <v>76</v>
      </c>
      <c r="E40" s="2" t="s">
        <v>17</v>
      </c>
      <c r="F40" s="21">
        <v>3.33</v>
      </c>
      <c r="G40" s="21" t="e">
        <f t="shared" ca="1" si="0"/>
        <v>#NAME?</v>
      </c>
      <c r="H40" s="21">
        <v>1</v>
      </c>
      <c r="I40" s="27" t="e">
        <f t="shared" ca="1" si="4"/>
        <v>#NAME?</v>
      </c>
      <c r="J40" s="27" t="e">
        <f t="shared" ca="1" si="5"/>
        <v>#NAME?</v>
      </c>
      <c r="K40" s="21" t="e">
        <f t="shared" ca="1" si="6"/>
        <v>#NAME?</v>
      </c>
      <c r="L40" s="2">
        <v>1.8504485163722921E-3</v>
      </c>
      <c r="M40" s="47" t="e">
        <f t="shared" ca="1" si="1"/>
        <v>#NAME?</v>
      </c>
      <c r="N40" s="47" t="e">
        <f t="shared" ca="1" si="7"/>
        <v>#NAME?</v>
      </c>
      <c r="O40" s="47" t="e">
        <f t="shared" ca="1" si="2"/>
        <v>#NAME?</v>
      </c>
      <c r="P40" s="47" t="e">
        <f t="shared" ca="1" si="3"/>
        <v>#NAME?</v>
      </c>
      <c r="Q40" s="62" t="e">
        <f t="shared" ca="1" si="8"/>
        <v>#NAME?</v>
      </c>
      <c r="R40" s="62" t="e">
        <f t="shared" ca="1" si="9"/>
        <v>#NAME?</v>
      </c>
      <c r="Y40" s="24">
        <f t="shared" si="10"/>
        <v>0.15255932203389833</v>
      </c>
      <c r="Z40" s="25">
        <f t="shared" si="11"/>
        <v>-110.42372881355934</v>
      </c>
    </row>
    <row r="41" spans="2:26" x14ac:dyDescent="0.2">
      <c r="B41" s="25">
        <f t="shared" si="12"/>
        <v>150</v>
      </c>
      <c r="C41" s="24">
        <v>2</v>
      </c>
      <c r="D41" s="2" t="s">
        <v>76</v>
      </c>
      <c r="E41" s="2" t="s">
        <v>17</v>
      </c>
      <c r="F41" s="21">
        <v>2.4500000000000002</v>
      </c>
      <c r="G41" s="21" t="e">
        <f t="shared" ca="1" si="0"/>
        <v>#NAME?</v>
      </c>
      <c r="H41" s="21">
        <v>1</v>
      </c>
      <c r="I41" s="27" t="e">
        <f t="shared" ca="1" si="4"/>
        <v>#NAME?</v>
      </c>
      <c r="J41" s="27" t="e">
        <f t="shared" ca="1" si="5"/>
        <v>#NAME?</v>
      </c>
      <c r="K41" s="21" t="e">
        <f t="shared" ca="1" si="6"/>
        <v>#NAME?</v>
      </c>
      <c r="L41" s="2">
        <v>3.10906574333249E-3</v>
      </c>
      <c r="M41" s="47" t="e">
        <f t="shared" ca="1" si="1"/>
        <v>#NAME?</v>
      </c>
      <c r="N41" s="47" t="e">
        <f t="shared" ca="1" si="7"/>
        <v>#NAME?</v>
      </c>
      <c r="O41" s="47" t="e">
        <f t="shared" ca="1" si="2"/>
        <v>#NAME?</v>
      </c>
      <c r="P41" s="47" t="e">
        <f t="shared" ca="1" si="3"/>
        <v>#NAME?</v>
      </c>
      <c r="Q41" s="62" t="e">
        <f t="shared" ca="1" si="8"/>
        <v>#NAME?</v>
      </c>
      <c r="R41" s="62" t="e">
        <f t="shared" ca="1" si="9"/>
        <v>#NAME?</v>
      </c>
      <c r="Y41" s="24">
        <f t="shared" si="10"/>
        <v>0.15255932203389833</v>
      </c>
      <c r="Z41" s="25">
        <f t="shared" si="11"/>
        <v>-100.42372881355934</v>
      </c>
    </row>
    <row r="42" spans="2:26" x14ac:dyDescent="0.2">
      <c r="B42" s="25">
        <f t="shared" si="12"/>
        <v>160</v>
      </c>
      <c r="C42" s="24">
        <v>2</v>
      </c>
      <c r="D42" s="2" t="s">
        <v>76</v>
      </c>
      <c r="E42" s="2" t="s">
        <v>17</v>
      </c>
      <c r="F42" s="21">
        <v>2.15</v>
      </c>
      <c r="G42" s="21" t="e">
        <f t="shared" ca="1" si="0"/>
        <v>#NAME?</v>
      </c>
      <c r="H42" s="21">
        <v>1</v>
      </c>
      <c r="I42" s="27" t="e">
        <f t="shared" ca="1" si="4"/>
        <v>#NAME?</v>
      </c>
      <c r="J42" s="27" t="e">
        <f t="shared" ca="1" si="5"/>
        <v>#NAME?</v>
      </c>
      <c r="K42" s="21" t="e">
        <f t="shared" ca="1" si="6"/>
        <v>#NAME?</v>
      </c>
      <c r="L42" s="2">
        <v>4.5936843430437885E-3</v>
      </c>
      <c r="M42" s="47" t="e">
        <f t="shared" ca="1" si="1"/>
        <v>#NAME?</v>
      </c>
      <c r="N42" s="47" t="e">
        <f t="shared" ca="1" si="7"/>
        <v>#NAME?</v>
      </c>
      <c r="O42" s="47" t="e">
        <f t="shared" ca="1" si="2"/>
        <v>#NAME?</v>
      </c>
      <c r="P42" s="47" t="e">
        <f t="shared" ca="1" si="3"/>
        <v>#NAME?</v>
      </c>
      <c r="Q42" s="62" t="e">
        <f t="shared" ca="1" si="8"/>
        <v>#NAME?</v>
      </c>
      <c r="R42" s="62" t="e">
        <f t="shared" ca="1" si="9"/>
        <v>#NAME?</v>
      </c>
      <c r="Y42" s="24">
        <f t="shared" si="10"/>
        <v>0.15255932203389833</v>
      </c>
      <c r="Z42" s="25">
        <f t="shared" si="11"/>
        <v>-90.423728813559336</v>
      </c>
    </row>
    <row r="43" spans="2:26" x14ac:dyDescent="0.2">
      <c r="B43" s="25">
        <f t="shared" si="12"/>
        <v>170</v>
      </c>
      <c r="C43" s="24">
        <v>2</v>
      </c>
      <c r="D43" s="2" t="s">
        <v>76</v>
      </c>
      <c r="E43" s="2" t="s">
        <v>17</v>
      </c>
      <c r="F43" s="21">
        <v>1.52</v>
      </c>
      <c r="G43" s="21" t="e">
        <f t="shared" ca="1" si="0"/>
        <v>#NAME?</v>
      </c>
      <c r="H43" s="21">
        <v>1</v>
      </c>
      <c r="I43" s="27" t="e">
        <f t="shared" ca="1" si="4"/>
        <v>#NAME?</v>
      </c>
      <c r="J43" s="27" t="e">
        <f t="shared" ca="1" si="5"/>
        <v>#NAME?</v>
      </c>
      <c r="K43" s="21" t="e">
        <f t="shared" ca="1" si="6"/>
        <v>#NAME?</v>
      </c>
      <c r="L43" s="2">
        <v>6.2799186278923568E-3</v>
      </c>
      <c r="M43" s="47" t="e">
        <f t="shared" ca="1" si="1"/>
        <v>#NAME?</v>
      </c>
      <c r="N43" s="47" t="e">
        <f t="shared" ca="1" si="7"/>
        <v>#NAME?</v>
      </c>
      <c r="O43" s="47" t="e">
        <f t="shared" ca="1" si="2"/>
        <v>#NAME?</v>
      </c>
      <c r="P43" s="47" t="e">
        <f t="shared" ca="1" si="3"/>
        <v>#NAME?</v>
      </c>
      <c r="Q43" s="62" t="e">
        <f t="shared" ca="1" si="8"/>
        <v>#NAME?</v>
      </c>
      <c r="R43" s="62" t="e">
        <f t="shared" ca="1" si="9"/>
        <v>#NAME?</v>
      </c>
      <c r="Y43" s="24">
        <f t="shared" si="10"/>
        <v>0.15255932203389833</v>
      </c>
      <c r="Z43" s="25">
        <f t="shared" si="11"/>
        <v>-80.423728813559336</v>
      </c>
    </row>
    <row r="44" spans="2:26" x14ac:dyDescent="0.2">
      <c r="B44" s="25">
        <f t="shared" si="12"/>
        <v>180</v>
      </c>
      <c r="C44" s="24">
        <v>2</v>
      </c>
      <c r="D44" s="2" t="s">
        <v>76</v>
      </c>
      <c r="E44" s="2" t="s">
        <v>17</v>
      </c>
      <c r="F44" s="21">
        <v>1.21</v>
      </c>
      <c r="G44" s="21" t="e">
        <f t="shared" ca="1" si="0"/>
        <v>#NAME?</v>
      </c>
      <c r="H44" s="21">
        <v>1</v>
      </c>
      <c r="I44" s="27" t="e">
        <f t="shared" ca="1" si="4"/>
        <v>#NAME?</v>
      </c>
      <c r="J44" s="27" t="e">
        <f t="shared" ca="1" si="5"/>
        <v>#NAME?</v>
      </c>
      <c r="K44" s="21" t="e">
        <f t="shared" ca="1" si="6"/>
        <v>#NAME?</v>
      </c>
      <c r="L44" s="2">
        <v>8.217971328176598E-3</v>
      </c>
      <c r="M44" s="47" t="e">
        <f t="shared" ca="1" si="1"/>
        <v>#NAME?</v>
      </c>
      <c r="N44" s="47" t="e">
        <f t="shared" ca="1" si="7"/>
        <v>#NAME?</v>
      </c>
      <c r="O44" s="47" t="e">
        <f t="shared" ca="1" si="2"/>
        <v>#NAME?</v>
      </c>
      <c r="P44" s="47" t="e">
        <f t="shared" ca="1" si="3"/>
        <v>#NAME?</v>
      </c>
      <c r="Q44" s="62" t="e">
        <f t="shared" ca="1" si="8"/>
        <v>#NAME?</v>
      </c>
      <c r="R44" s="62" t="e">
        <f t="shared" ca="1" si="9"/>
        <v>#NAME?</v>
      </c>
      <c r="Y44" s="24">
        <f t="shared" si="10"/>
        <v>0.15255932203389833</v>
      </c>
      <c r="Z44" s="25">
        <f t="shared" si="11"/>
        <v>-70.423728813559336</v>
      </c>
    </row>
    <row r="45" spans="2:26" x14ac:dyDescent="0.2">
      <c r="B45" s="25">
        <f t="shared" si="12"/>
        <v>190</v>
      </c>
      <c r="C45" s="24">
        <v>2</v>
      </c>
      <c r="D45" s="2" t="s">
        <v>76</v>
      </c>
      <c r="E45" s="2" t="s">
        <v>17</v>
      </c>
      <c r="F45" s="21">
        <v>0.81</v>
      </c>
      <c r="G45" s="21" t="e">
        <f t="shared" ca="1" si="0"/>
        <v>#NAME?</v>
      </c>
      <c r="H45" s="21">
        <v>1</v>
      </c>
      <c r="I45" s="27" t="e">
        <f t="shared" ca="1" si="4"/>
        <v>#NAME?</v>
      </c>
      <c r="J45" s="27" t="e">
        <f t="shared" ca="1" si="5"/>
        <v>#NAME?</v>
      </c>
      <c r="K45" s="21" t="e">
        <f t="shared" ca="1" si="6"/>
        <v>#NAME?</v>
      </c>
      <c r="L45" s="2">
        <v>1.049516094149084E-2</v>
      </c>
      <c r="M45" s="47" t="e">
        <f t="shared" ca="1" si="1"/>
        <v>#NAME?</v>
      </c>
      <c r="N45" s="47" t="e">
        <f t="shared" ca="1" si="7"/>
        <v>#NAME?</v>
      </c>
      <c r="O45" s="47" t="e">
        <f t="shared" ca="1" si="2"/>
        <v>#NAME?</v>
      </c>
      <c r="P45" s="47" t="e">
        <f t="shared" ca="1" si="3"/>
        <v>#NAME?</v>
      </c>
      <c r="Q45" s="62" t="e">
        <f t="shared" ca="1" si="8"/>
        <v>#NAME?</v>
      </c>
      <c r="R45" s="62" t="e">
        <f t="shared" ca="1" si="9"/>
        <v>#NAME?</v>
      </c>
      <c r="Y45" s="24">
        <f t="shared" si="10"/>
        <v>0.15255932203389833</v>
      </c>
      <c r="Z45" s="25">
        <f t="shared" si="11"/>
        <v>-60.423728813559336</v>
      </c>
    </row>
    <row r="46" spans="2:26" x14ac:dyDescent="0.2">
      <c r="B46" s="25">
        <f t="shared" si="12"/>
        <v>200</v>
      </c>
      <c r="C46" s="24">
        <v>2</v>
      </c>
      <c r="D46" s="2" t="s">
        <v>76</v>
      </c>
      <c r="E46" s="2" t="s">
        <v>17</v>
      </c>
      <c r="F46" s="21">
        <v>0.63</v>
      </c>
      <c r="G46" s="21" t="e">
        <f t="shared" ca="1" si="0"/>
        <v>#NAME?</v>
      </c>
      <c r="H46" s="21">
        <v>1</v>
      </c>
      <c r="I46" s="27" t="e">
        <f t="shared" ca="1" si="4"/>
        <v>#NAME?</v>
      </c>
      <c r="J46" s="27" t="e">
        <f t="shared" ca="1" si="5"/>
        <v>#NAME?</v>
      </c>
      <c r="K46" s="21" t="e">
        <f t="shared" ca="1" si="6"/>
        <v>#NAME?</v>
      </c>
      <c r="L46" s="2">
        <v>1.3214407968514495E-2</v>
      </c>
      <c r="M46" s="47" t="e">
        <f t="shared" ca="1" si="1"/>
        <v>#NAME?</v>
      </c>
      <c r="N46" s="47" t="e">
        <f t="shared" ca="1" si="7"/>
        <v>#NAME?</v>
      </c>
      <c r="O46" s="47" t="e">
        <f t="shared" ca="1" si="2"/>
        <v>#NAME?</v>
      </c>
      <c r="P46" s="47" t="e">
        <f t="shared" ca="1" si="3"/>
        <v>#NAME?</v>
      </c>
      <c r="Q46" s="62" t="e">
        <f t="shared" ca="1" si="8"/>
        <v>#NAME?</v>
      </c>
      <c r="R46" s="62" t="e">
        <f t="shared" ca="1" si="9"/>
        <v>#NAME?</v>
      </c>
      <c r="Y46" s="24">
        <f t="shared" si="10"/>
        <v>0.15255932203389833</v>
      </c>
      <c r="Z46" s="25">
        <f t="shared" si="11"/>
        <v>-50.423728813559336</v>
      </c>
    </row>
    <row r="47" spans="2:26" x14ac:dyDescent="0.2">
      <c r="B47" s="25">
        <f t="shared" ref="B47:B63" si="13">10+B46</f>
        <v>210</v>
      </c>
      <c r="C47" s="24">
        <v>2</v>
      </c>
      <c r="D47" s="2" t="s">
        <v>76</v>
      </c>
      <c r="E47" s="2" t="s">
        <v>17</v>
      </c>
      <c r="F47" s="21">
        <v>0.46</v>
      </c>
      <c r="G47" s="21" t="e">
        <f t="shared" ca="1" si="0"/>
        <v>#NAME?</v>
      </c>
      <c r="H47" s="21">
        <v>1</v>
      </c>
      <c r="I47" s="27" t="e">
        <f t="shared" ca="1" si="4"/>
        <v>#NAME?</v>
      </c>
      <c r="J47" s="27" t="e">
        <f t="shared" ca="1" si="5"/>
        <v>#NAME?</v>
      </c>
      <c r="K47" s="21" t="e">
        <f t="shared" ca="1" si="6"/>
        <v>#NAME?</v>
      </c>
      <c r="L47" s="2">
        <v>1.6482192463933003E-2</v>
      </c>
      <c r="M47" s="47" t="e">
        <f t="shared" ca="1" si="1"/>
        <v>#NAME?</v>
      </c>
      <c r="N47" s="47" t="e">
        <f t="shared" ca="1" si="7"/>
        <v>#NAME?</v>
      </c>
      <c r="O47" s="47" t="e">
        <f t="shared" ca="1" si="2"/>
        <v>#NAME?</v>
      </c>
      <c r="P47" s="47" t="e">
        <f t="shared" ca="1" si="3"/>
        <v>#NAME?</v>
      </c>
      <c r="Q47" s="62" t="e">
        <f t="shared" ca="1" si="8"/>
        <v>#NAME?</v>
      </c>
      <c r="R47" s="62" t="e">
        <f t="shared" ca="1" si="9"/>
        <v>#NAME?</v>
      </c>
      <c r="Y47" s="24">
        <f t="shared" si="10"/>
        <v>0.15255932203389833</v>
      </c>
      <c r="Z47" s="25">
        <f t="shared" si="11"/>
        <v>-40.423728813559336</v>
      </c>
    </row>
    <row r="48" spans="2:26" x14ac:dyDescent="0.2">
      <c r="B48" s="25">
        <f t="shared" si="13"/>
        <v>220</v>
      </c>
      <c r="C48" s="24">
        <v>2</v>
      </c>
      <c r="D48" s="2" t="s">
        <v>76</v>
      </c>
      <c r="E48" s="2" t="s">
        <v>17</v>
      </c>
      <c r="F48" s="21">
        <v>0.28000000000000003</v>
      </c>
      <c r="G48" s="21" t="e">
        <f t="shared" ca="1" si="0"/>
        <v>#NAME?</v>
      </c>
      <c r="H48" s="21">
        <v>1</v>
      </c>
      <c r="I48" s="27" t="e">
        <f t="shared" ca="1" si="4"/>
        <v>#NAME?</v>
      </c>
      <c r="J48" s="27" t="e">
        <f t="shared" ca="1" si="5"/>
        <v>#NAME?</v>
      </c>
      <c r="K48" s="21" t="e">
        <f t="shared" ca="1" si="6"/>
        <v>#NAME?</v>
      </c>
      <c r="L48" s="2">
        <v>2.0402060480785633E-2</v>
      </c>
      <c r="M48" s="47" t="e">
        <f t="shared" ca="1" si="1"/>
        <v>#NAME?</v>
      </c>
      <c r="N48" s="47" t="e">
        <f t="shared" ca="1" si="7"/>
        <v>#NAME?</v>
      </c>
      <c r="O48" s="47" t="e">
        <f t="shared" ca="1" si="2"/>
        <v>#NAME?</v>
      </c>
      <c r="P48" s="47" t="e">
        <f t="shared" ca="1" si="3"/>
        <v>#NAME?</v>
      </c>
      <c r="Q48" s="62" t="e">
        <f t="shared" ca="1" si="8"/>
        <v>#NAME?</v>
      </c>
      <c r="R48" s="62" t="e">
        <f t="shared" ca="1" si="9"/>
        <v>#NAME?</v>
      </c>
      <c r="Y48" s="24">
        <f t="shared" si="10"/>
        <v>0.15255932203389833</v>
      </c>
      <c r="Z48" s="25">
        <f t="shared" si="11"/>
        <v>-30.423728813559336</v>
      </c>
    </row>
    <row r="49" spans="2:26" x14ac:dyDescent="0.2">
      <c r="B49" s="25">
        <f t="shared" si="13"/>
        <v>230</v>
      </c>
      <c r="C49" s="24">
        <v>2</v>
      </c>
      <c r="D49" s="2" t="s">
        <v>76</v>
      </c>
      <c r="E49" s="2" t="s">
        <v>17</v>
      </c>
      <c r="F49" s="21">
        <v>0.21</v>
      </c>
      <c r="G49" s="21" t="e">
        <f t="shared" ca="1" si="0"/>
        <v>#NAME?</v>
      </c>
      <c r="H49" s="21">
        <v>1</v>
      </c>
      <c r="I49" s="27" t="e">
        <f t="shared" ca="1" si="4"/>
        <v>#NAME?</v>
      </c>
      <c r="J49" s="27" t="e">
        <f t="shared" ca="1" si="5"/>
        <v>#NAME?</v>
      </c>
      <c r="K49" s="21" t="e">
        <f t="shared" ca="1" si="6"/>
        <v>#NAME?</v>
      </c>
      <c r="L49" s="2">
        <v>2.5071350244317909E-2</v>
      </c>
      <c r="M49" s="47" t="e">
        <f t="shared" ca="1" si="1"/>
        <v>#NAME?</v>
      </c>
      <c r="N49" s="47" t="e">
        <f t="shared" ca="1" si="7"/>
        <v>#NAME?</v>
      </c>
      <c r="O49" s="47" t="e">
        <f t="shared" ca="1" si="2"/>
        <v>#NAME?</v>
      </c>
      <c r="P49" s="47" t="e">
        <f t="shared" ca="1" si="3"/>
        <v>#NAME?</v>
      </c>
      <c r="Q49" s="62" t="e">
        <f t="shared" ca="1" si="8"/>
        <v>#NAME?</v>
      </c>
      <c r="R49" s="62" t="e">
        <f t="shared" ca="1" si="9"/>
        <v>#NAME?</v>
      </c>
      <c r="Y49" s="24">
        <f t="shared" si="10"/>
        <v>0.15255932203389833</v>
      </c>
      <c r="Z49" s="25">
        <f t="shared" si="11"/>
        <v>-20.423728813559336</v>
      </c>
    </row>
    <row r="50" spans="2:26" x14ac:dyDescent="0.2">
      <c r="B50" s="25">
        <f t="shared" si="13"/>
        <v>240</v>
      </c>
      <c r="C50" s="24">
        <v>2</v>
      </c>
      <c r="D50" s="2" t="s">
        <v>76</v>
      </c>
      <c r="E50" s="2" t="s">
        <v>17</v>
      </c>
      <c r="F50" s="21">
        <v>0.14000000000000001</v>
      </c>
      <c r="G50" s="21" t="e">
        <f t="shared" ca="1" si="0"/>
        <v>#NAME?</v>
      </c>
      <c r="H50" s="21">
        <v>1</v>
      </c>
      <c r="I50" s="27" t="e">
        <f t="shared" ca="1" si="4"/>
        <v>#NAME?</v>
      </c>
      <c r="J50" s="27" t="e">
        <f t="shared" ca="1" si="5"/>
        <v>#NAME?</v>
      </c>
      <c r="K50" s="21" t="e">
        <f t="shared" ca="1" si="6"/>
        <v>#NAME?</v>
      </c>
      <c r="L50" s="2">
        <v>3.057976506374413E-2</v>
      </c>
      <c r="M50" s="47" t="e">
        <f t="shared" ca="1" si="1"/>
        <v>#NAME?</v>
      </c>
      <c r="N50" s="47" t="e">
        <f t="shared" ca="1" si="7"/>
        <v>#NAME?</v>
      </c>
      <c r="O50" s="47" t="e">
        <f t="shared" ca="1" si="2"/>
        <v>#NAME?</v>
      </c>
      <c r="P50" s="47" t="e">
        <f t="shared" ca="1" si="3"/>
        <v>#NAME?</v>
      </c>
      <c r="Q50" s="62" t="e">
        <f t="shared" ca="1" si="8"/>
        <v>#NAME?</v>
      </c>
      <c r="R50" s="62" t="e">
        <f t="shared" ca="1" si="9"/>
        <v>#NAME?</v>
      </c>
      <c r="Y50" s="24">
        <f t="shared" si="10"/>
        <v>0.15255932203389833</v>
      </c>
      <c r="Z50" s="25">
        <f t="shared" si="11"/>
        <v>-10.423728813559336</v>
      </c>
    </row>
    <row r="51" spans="2:26" x14ac:dyDescent="0.2">
      <c r="B51" s="25">
        <f t="shared" si="13"/>
        <v>250</v>
      </c>
      <c r="C51" s="24">
        <v>2</v>
      </c>
      <c r="D51" s="2" t="s">
        <v>76</v>
      </c>
      <c r="E51" s="2" t="s">
        <v>17</v>
      </c>
      <c r="F51" s="21">
        <v>0.1</v>
      </c>
      <c r="G51" s="21" t="e">
        <f t="shared" ca="1" si="0"/>
        <v>#NAME?</v>
      </c>
      <c r="H51" s="21">
        <v>1</v>
      </c>
      <c r="I51" s="27" t="e">
        <f t="shared" ca="1" si="4"/>
        <v>#NAME?</v>
      </c>
      <c r="J51" s="27" t="e">
        <f t="shared" ca="1" si="5"/>
        <v>#NAME?</v>
      </c>
      <c r="K51" s="21" t="e">
        <f t="shared" ca="1" si="6"/>
        <v>#NAME?</v>
      </c>
      <c r="L51" s="2">
        <v>3.7008985999340889E-2</v>
      </c>
      <c r="M51" s="47" t="e">
        <f t="shared" ca="1" si="1"/>
        <v>#NAME?</v>
      </c>
      <c r="N51" s="47" t="e">
        <f t="shared" ca="1" si="7"/>
        <v>#NAME?</v>
      </c>
      <c r="O51" s="47" t="e">
        <f t="shared" ca="1" si="2"/>
        <v>#NAME?</v>
      </c>
      <c r="P51" s="47" t="e">
        <f t="shared" ca="1" si="3"/>
        <v>#NAME?</v>
      </c>
      <c r="Q51" s="62" t="e">
        <f t="shared" ca="1" si="8"/>
        <v>#NAME?</v>
      </c>
      <c r="R51" s="62" t="e">
        <f t="shared" ca="1" si="9"/>
        <v>#NAME?</v>
      </c>
      <c r="Y51" s="24">
        <f t="shared" si="10"/>
        <v>0.15255932203389833</v>
      </c>
      <c r="Z51" s="25">
        <f t="shared" si="11"/>
        <v>-0.423728813559336</v>
      </c>
    </row>
    <row r="52" spans="2:26" x14ac:dyDescent="0.2">
      <c r="B52" s="25">
        <f t="shared" si="13"/>
        <v>260</v>
      </c>
      <c r="C52" s="24">
        <v>2</v>
      </c>
      <c r="D52" s="2" t="s">
        <v>76</v>
      </c>
      <c r="E52" s="2" t="s">
        <v>17</v>
      </c>
      <c r="F52" s="21">
        <v>0.06</v>
      </c>
      <c r="G52" s="21" t="e">
        <f t="shared" ca="1" si="0"/>
        <v>#NAME?</v>
      </c>
      <c r="H52" s="21">
        <v>1</v>
      </c>
      <c r="I52" s="27" t="e">
        <f t="shared" ca="1" si="4"/>
        <v>#NAME?</v>
      </c>
      <c r="J52" s="27" t="e">
        <f t="shared" ca="1" si="5"/>
        <v>#NAME?</v>
      </c>
      <c r="K52" s="21" t="e">
        <f t="shared" ca="1" si="6"/>
        <v>#NAME?</v>
      </c>
      <c r="L52" s="2">
        <v>4.4432851043236896E-2</v>
      </c>
      <c r="M52" s="47" t="e">
        <f t="shared" ca="1" si="1"/>
        <v>#NAME?</v>
      </c>
      <c r="N52" s="47" t="e">
        <f t="shared" ca="1" si="7"/>
        <v>#NAME?</v>
      </c>
      <c r="O52" s="47" t="e">
        <f t="shared" ca="1" si="2"/>
        <v>#NAME?</v>
      </c>
      <c r="P52" s="47" t="e">
        <f t="shared" ca="1" si="3"/>
        <v>#NAME?</v>
      </c>
      <c r="Q52" s="62" t="e">
        <f t="shared" ca="1" si="8"/>
        <v>#NAME?</v>
      </c>
      <c r="R52" s="62" t="e">
        <f t="shared" ca="1" si="9"/>
        <v>#NAME?</v>
      </c>
      <c r="Y52" s="24">
        <f t="shared" si="10"/>
        <v>0.15255932203389833</v>
      </c>
      <c r="Z52" s="25">
        <f t="shared" si="11"/>
        <v>9.576271186440664</v>
      </c>
    </row>
    <row r="53" spans="2:26" x14ac:dyDescent="0.2">
      <c r="B53" s="25">
        <f t="shared" si="13"/>
        <v>270</v>
      </c>
      <c r="C53" s="24">
        <v>2</v>
      </c>
      <c r="D53" s="2" t="s">
        <v>76</v>
      </c>
      <c r="E53" s="2" t="s">
        <v>17</v>
      </c>
      <c r="F53" s="21">
        <v>0.04</v>
      </c>
      <c r="G53" s="21" t="e">
        <f t="shared" ca="1" si="0"/>
        <v>#NAME?</v>
      </c>
      <c r="H53" s="21">
        <v>1</v>
      </c>
      <c r="I53" s="27" t="e">
        <f t="shared" ca="1" si="4"/>
        <v>#NAME?</v>
      </c>
      <c r="J53" s="27" t="e">
        <f t="shared" ca="1" si="5"/>
        <v>#NAME?</v>
      </c>
      <c r="K53" s="21" t="e">
        <f t="shared" ca="1" si="6"/>
        <v>#NAME?</v>
      </c>
      <c r="L53" s="2">
        <v>5.2917824471775614E-2</v>
      </c>
      <c r="M53" s="47" t="e">
        <f t="shared" ca="1" si="1"/>
        <v>#NAME?</v>
      </c>
      <c r="N53" s="47" t="e">
        <f t="shared" ca="1" si="7"/>
        <v>#NAME?</v>
      </c>
      <c r="O53" s="47" t="e">
        <f t="shared" ca="1" si="2"/>
        <v>#NAME?</v>
      </c>
      <c r="P53" s="47" t="e">
        <f t="shared" ca="1" si="3"/>
        <v>#NAME?</v>
      </c>
      <c r="Q53" s="62" t="e">
        <f t="shared" ca="1" si="8"/>
        <v>#NAME?</v>
      </c>
      <c r="R53" s="62" t="e">
        <f t="shared" ca="1" si="9"/>
        <v>#NAME?</v>
      </c>
      <c r="Y53" s="24">
        <f t="shared" si="10"/>
        <v>0.15255932203389833</v>
      </c>
      <c r="Z53" s="25">
        <f t="shared" si="11"/>
        <v>19.576271186440664</v>
      </c>
    </row>
    <row r="54" spans="2:26" x14ac:dyDescent="0.2">
      <c r="B54" s="25">
        <f t="shared" si="13"/>
        <v>280</v>
      </c>
      <c r="C54" s="24">
        <v>2</v>
      </c>
      <c r="D54" s="2" t="s">
        <v>76</v>
      </c>
      <c r="E54" s="2" t="s">
        <v>17</v>
      </c>
      <c r="F54" s="21">
        <v>0.03</v>
      </c>
      <c r="G54" s="21" t="e">
        <f t="shared" ca="1" si="0"/>
        <v>#NAME?</v>
      </c>
      <c r="H54" s="21">
        <v>1</v>
      </c>
      <c r="I54" s="27" t="e">
        <f t="shared" ca="1" si="4"/>
        <v>#NAME?</v>
      </c>
      <c r="J54" s="27" t="e">
        <f t="shared" ca="1" si="5"/>
        <v>#NAME?</v>
      </c>
      <c r="K54" s="21" t="e">
        <f t="shared" ca="1" si="6"/>
        <v>#NAME?</v>
      </c>
      <c r="L54" s="2">
        <v>6.2523596437922255E-2</v>
      </c>
      <c r="M54" s="47" t="e">
        <f t="shared" ca="1" si="1"/>
        <v>#NAME?</v>
      </c>
      <c r="N54" s="47" t="e">
        <f t="shared" ca="1" si="7"/>
        <v>#NAME?</v>
      </c>
      <c r="O54" s="47" t="e">
        <f t="shared" ca="1" si="2"/>
        <v>#NAME?</v>
      </c>
      <c r="P54" s="47" t="e">
        <f t="shared" ca="1" si="3"/>
        <v>#NAME?</v>
      </c>
      <c r="Q54" s="62" t="e">
        <f t="shared" ca="1" si="8"/>
        <v>#NAME?</v>
      </c>
      <c r="R54" s="62" t="e">
        <f t="shared" ca="1" si="9"/>
        <v>#NAME?</v>
      </c>
      <c r="Y54" s="24">
        <f t="shared" si="10"/>
        <v>0.15255932203389833</v>
      </c>
      <c r="Z54" s="25">
        <f t="shared" si="11"/>
        <v>29.576271186440664</v>
      </c>
    </row>
    <row r="55" spans="2:26" x14ac:dyDescent="0.2">
      <c r="B55" s="25">
        <f t="shared" si="13"/>
        <v>290</v>
      </c>
      <c r="C55" s="24">
        <v>2</v>
      </c>
      <c r="D55" s="2" t="s">
        <v>76</v>
      </c>
      <c r="E55" s="2" t="s">
        <v>17</v>
      </c>
      <c r="F55" s="21">
        <v>0.02</v>
      </c>
      <c r="G55" s="21" t="e">
        <f t="shared" ca="1" si="0"/>
        <v>#NAME?</v>
      </c>
      <c r="H55" s="21">
        <v>1</v>
      </c>
      <c r="I55" s="27" t="e">
        <f t="shared" ca="1" si="4"/>
        <v>#NAME?</v>
      </c>
      <c r="J55" s="27" t="e">
        <f t="shared" ca="1" si="5"/>
        <v>#NAME?</v>
      </c>
      <c r="K55" s="21" t="e">
        <f t="shared" ca="1" si="6"/>
        <v>#NAME?</v>
      </c>
      <c r="L55" s="2">
        <v>7.3303721812866804E-2</v>
      </c>
      <c r="M55" s="47" t="e">
        <f t="shared" ca="1" si="1"/>
        <v>#NAME?</v>
      </c>
      <c r="N55" s="47" t="e">
        <f t="shared" ca="1" si="7"/>
        <v>#NAME?</v>
      </c>
      <c r="O55" s="47" t="e">
        <f t="shared" ca="1" si="2"/>
        <v>#NAME?</v>
      </c>
      <c r="P55" s="47" t="e">
        <f t="shared" ca="1" si="3"/>
        <v>#NAME?</v>
      </c>
      <c r="Q55" s="62" t="e">
        <f t="shared" ca="1" si="8"/>
        <v>#NAME?</v>
      </c>
      <c r="R55" s="62" t="e">
        <f t="shared" ca="1" si="9"/>
        <v>#NAME?</v>
      </c>
      <c r="Y55" s="24">
        <f t="shared" si="10"/>
        <v>0.15255932203389833</v>
      </c>
      <c r="Z55" s="25">
        <f t="shared" si="11"/>
        <v>39.576271186440664</v>
      </c>
    </row>
    <row r="56" spans="2:26" x14ac:dyDescent="0.2">
      <c r="B56" s="25">
        <f t="shared" si="13"/>
        <v>300</v>
      </c>
      <c r="C56" s="24">
        <v>2</v>
      </c>
      <c r="D56" s="2" t="s">
        <v>76</v>
      </c>
      <c r="E56" s="2" t="s">
        <v>17</v>
      </c>
      <c r="F56" s="21">
        <v>0.01</v>
      </c>
      <c r="G56" s="21" t="e">
        <f t="shared" ca="1" si="0"/>
        <v>#NAME?</v>
      </c>
      <c r="H56" s="21">
        <v>1</v>
      </c>
      <c r="I56" s="27" t="e">
        <f t="shared" ca="1" si="4"/>
        <v>#NAME?</v>
      </c>
      <c r="J56" s="27" t="e">
        <f t="shared" ca="1" si="5"/>
        <v>#NAME?</v>
      </c>
      <c r="K56" s="21" t="e">
        <f t="shared" ca="1" si="6"/>
        <v>#NAME?</v>
      </c>
      <c r="L56" s="2">
        <v>8.5306248108932628E-2</v>
      </c>
      <c r="M56" s="47" t="e">
        <f t="shared" ca="1" si="1"/>
        <v>#NAME?</v>
      </c>
      <c r="N56" s="47" t="e">
        <f t="shared" ca="1" si="7"/>
        <v>#NAME?</v>
      </c>
      <c r="O56" s="47" t="e">
        <f t="shared" ca="1" si="2"/>
        <v>#NAME?</v>
      </c>
      <c r="P56" s="47" t="e">
        <f t="shared" ca="1" si="3"/>
        <v>#NAME?</v>
      </c>
      <c r="Q56" s="62" t="e">
        <f t="shared" ca="1" si="8"/>
        <v>#NAME?</v>
      </c>
      <c r="R56" s="62" t="e">
        <f t="shared" ca="1" si="9"/>
        <v>#NAME?</v>
      </c>
      <c r="Y56" s="24">
        <f t="shared" si="10"/>
        <v>0.15255932203389833</v>
      </c>
      <c r="Z56" s="25">
        <f t="shared" si="11"/>
        <v>49.576271186440664</v>
      </c>
    </row>
    <row r="57" spans="2:26" x14ac:dyDescent="0.2">
      <c r="B57" s="25">
        <f t="shared" si="13"/>
        <v>310</v>
      </c>
      <c r="C57" s="24">
        <v>2</v>
      </c>
      <c r="D57" s="2" t="s">
        <v>76</v>
      </c>
      <c r="E57" s="2" t="s">
        <v>17</v>
      </c>
      <c r="F57" s="21">
        <v>0.01</v>
      </c>
      <c r="G57" s="21" t="e">
        <f t="shared" ca="1" si="0"/>
        <v>#NAME?</v>
      </c>
      <c r="H57" s="21">
        <v>1</v>
      </c>
      <c r="I57" s="27" t="e">
        <f t="shared" ca="1" si="4"/>
        <v>#NAME?</v>
      </c>
      <c r="J57" s="27" t="e">
        <f t="shared" ca="1" si="5"/>
        <v>#NAME?</v>
      </c>
      <c r="K57" s="21" t="e">
        <f t="shared" ca="1" si="6"/>
        <v>#NAME?</v>
      </c>
      <c r="L57" s="2">
        <v>9.857430640350176E-2</v>
      </c>
      <c r="M57" s="47" t="e">
        <f t="shared" ca="1" si="1"/>
        <v>#NAME?</v>
      </c>
      <c r="N57" s="47" t="e">
        <f t="shared" ca="1" si="7"/>
        <v>#NAME?</v>
      </c>
      <c r="O57" s="47" t="e">
        <f t="shared" ca="1" si="2"/>
        <v>#NAME?</v>
      </c>
      <c r="P57" s="47" t="e">
        <f t="shared" ca="1" si="3"/>
        <v>#NAME?</v>
      </c>
      <c r="Q57" s="62" t="e">
        <f t="shared" ca="1" si="8"/>
        <v>#NAME?</v>
      </c>
      <c r="R57" s="62" t="e">
        <f t="shared" ca="1" si="9"/>
        <v>#NAME?</v>
      </c>
      <c r="Y57" s="24">
        <f t="shared" si="10"/>
        <v>0.15255932203389833</v>
      </c>
      <c r="Z57" s="25">
        <f t="shared" si="11"/>
        <v>59.576271186440664</v>
      </c>
    </row>
    <row r="58" spans="2:26" x14ac:dyDescent="0.2">
      <c r="B58" s="25">
        <f t="shared" si="13"/>
        <v>320</v>
      </c>
      <c r="C58" s="24">
        <v>2</v>
      </c>
      <c r="D58" s="2" t="s">
        <v>76</v>
      </c>
      <c r="E58" s="2" t="s">
        <v>17</v>
      </c>
      <c r="F58" s="21">
        <v>1E-3</v>
      </c>
      <c r="G58" s="21" t="e">
        <f t="shared" ca="1" si="0"/>
        <v>#NAME?</v>
      </c>
      <c r="H58" s="21">
        <v>1</v>
      </c>
      <c r="I58" s="27" t="e">
        <f t="shared" ca="1" si="4"/>
        <v>#NAME?</v>
      </c>
      <c r="J58" s="27" t="e">
        <f t="shared" ca="1" si="5"/>
        <v>#NAME?</v>
      </c>
      <c r="K58" s="21" t="e">
        <f t="shared" ca="1" si="6"/>
        <v>#NAME?</v>
      </c>
      <c r="L58" s="2">
        <v>0.11314665326999081</v>
      </c>
      <c r="M58" s="47" t="e">
        <f t="shared" ca="1" si="1"/>
        <v>#NAME?</v>
      </c>
      <c r="N58" s="47" t="e">
        <f t="shared" ca="1" si="7"/>
        <v>#NAME?</v>
      </c>
      <c r="O58" s="47" t="e">
        <f t="shared" ca="1" si="2"/>
        <v>#NAME?</v>
      </c>
      <c r="P58" s="47" t="e">
        <f t="shared" ca="1" si="3"/>
        <v>#NAME?</v>
      </c>
      <c r="Q58" s="62" t="e">
        <f t="shared" ca="1" si="8"/>
        <v>#NAME?</v>
      </c>
      <c r="R58" s="62" t="e">
        <f t="shared" ca="1" si="9"/>
        <v>#NAME?</v>
      </c>
      <c r="Y58" s="24">
        <f t="shared" si="10"/>
        <v>0.15255932203389833</v>
      </c>
      <c r="Z58" s="25">
        <f t="shared" si="11"/>
        <v>69.576271186440664</v>
      </c>
    </row>
    <row r="59" spans="2:26" x14ac:dyDescent="0.2">
      <c r="B59" s="25">
        <f t="shared" si="13"/>
        <v>330</v>
      </c>
      <c r="C59" s="24">
        <v>2</v>
      </c>
      <c r="D59" s="2" t="s">
        <v>76</v>
      </c>
      <c r="E59" s="2" t="s">
        <v>17</v>
      </c>
      <c r="F59" s="21">
        <v>1E-3</v>
      </c>
      <c r="G59" s="21" t="e">
        <f t="shared" ref="G59:G76" ca="1" si="14">MAX(D$23,cde(C59,B59,D$20,D$12,D$13,D$14,D$15,D$17,E59,D$18,D$19))</f>
        <v>#NAME?</v>
      </c>
      <c r="H59" s="21">
        <v>1</v>
      </c>
      <c r="I59" s="27" t="e">
        <f t="shared" ca="1" si="4"/>
        <v>#NAME?</v>
      </c>
      <c r="J59" s="27" t="e">
        <f t="shared" ca="1" si="5"/>
        <v>#NAME?</v>
      </c>
      <c r="K59" s="21" t="e">
        <f t="shared" ca="1" si="6"/>
        <v>#NAME?</v>
      </c>
      <c r="L59" s="2">
        <v>0.12905815982450741</v>
      </c>
      <c r="M59" s="47" t="e">
        <f t="shared" ref="M59:M90" ca="1" si="15">G$15*(1+1/$G$16+(C59-$G$18)^2/Y$24+(B59-$G$19)^2/Z$24)</f>
        <v>#NAME?</v>
      </c>
      <c r="N59" s="47" t="e">
        <f t="shared" ca="1" si="7"/>
        <v>#NAME?</v>
      </c>
      <c r="O59" s="47" t="e">
        <f t="shared" ref="O59:O90" ca="1" si="16">IF(D$22="yes",EXP(LN(G59)-G$22*N59),G59-G$22*N59)</f>
        <v>#NAME?</v>
      </c>
      <c r="P59" s="47" t="e">
        <f t="shared" ref="P59:P90" ca="1" si="17">IF(D$22="yes",EXP(LN(G59)+G$22*N59),G59-G$22*N59)</f>
        <v>#NAME?</v>
      </c>
      <c r="Q59" s="62" t="e">
        <f t="shared" ca="1" si="8"/>
        <v>#NAME?</v>
      </c>
      <c r="R59" s="62" t="e">
        <f t="shared" ca="1" si="9"/>
        <v>#NAME?</v>
      </c>
      <c r="Y59" s="24">
        <f t="shared" si="10"/>
        <v>0.15255932203389833</v>
      </c>
      <c r="Z59" s="25">
        <f t="shared" si="11"/>
        <v>79.576271186440664</v>
      </c>
    </row>
    <row r="60" spans="2:26" x14ac:dyDescent="0.2">
      <c r="B60" s="25">
        <f t="shared" si="13"/>
        <v>340</v>
      </c>
      <c r="C60" s="24">
        <v>2</v>
      </c>
      <c r="D60" s="2" t="s">
        <v>76</v>
      </c>
      <c r="E60" s="2" t="s">
        <v>17</v>
      </c>
      <c r="F60" s="21">
        <v>1E-3</v>
      </c>
      <c r="G60" s="21" t="e">
        <f t="shared" ca="1" si="14"/>
        <v>#NAME?</v>
      </c>
      <c r="H60" s="21">
        <v>1</v>
      </c>
      <c r="I60" s="27" t="e">
        <f t="shared" ca="1" si="4"/>
        <v>#NAME?</v>
      </c>
      <c r="J60" s="27" t="e">
        <f t="shared" ca="1" si="5"/>
        <v>#NAME?</v>
      </c>
      <c r="K60" s="21" t="e">
        <f t="shared" ca="1" si="6"/>
        <v>#NAME?</v>
      </c>
      <c r="L60" s="2">
        <v>0.14634024851761054</v>
      </c>
      <c r="M60" s="47" t="e">
        <f t="shared" ca="1" si="15"/>
        <v>#NAME?</v>
      </c>
      <c r="N60" s="47" t="e">
        <f t="shared" ca="1" si="7"/>
        <v>#NAME?</v>
      </c>
      <c r="O60" s="47" t="e">
        <f t="shared" ca="1" si="16"/>
        <v>#NAME?</v>
      </c>
      <c r="P60" s="47" t="e">
        <f t="shared" ca="1" si="17"/>
        <v>#NAME?</v>
      </c>
      <c r="Q60" s="62" t="e">
        <f t="shared" ca="1" si="8"/>
        <v>#NAME?</v>
      </c>
      <c r="R60" s="62" t="e">
        <f t="shared" ca="1" si="9"/>
        <v>#NAME?</v>
      </c>
      <c r="Y60" s="24">
        <f t="shared" si="10"/>
        <v>0.15255932203389833</v>
      </c>
      <c r="Z60" s="25">
        <f t="shared" si="11"/>
        <v>89.576271186440664</v>
      </c>
    </row>
    <row r="61" spans="2:26" x14ac:dyDescent="0.2">
      <c r="B61" s="25">
        <f t="shared" si="13"/>
        <v>350</v>
      </c>
      <c r="C61" s="24">
        <v>2</v>
      </c>
      <c r="D61" s="2" t="s">
        <v>76</v>
      </c>
      <c r="E61" s="2" t="s">
        <v>17</v>
      </c>
      <c r="F61" s="21">
        <v>1E-3</v>
      </c>
      <c r="G61" s="21" t="e">
        <f t="shared" ca="1" si="14"/>
        <v>#NAME?</v>
      </c>
      <c r="H61" s="21">
        <v>1</v>
      </c>
      <c r="I61" s="27" t="e">
        <f t="shared" ca="1" si="4"/>
        <v>#NAME?</v>
      </c>
      <c r="J61" s="27" t="e">
        <f t="shared" ca="1" si="5"/>
        <v>#NAME?</v>
      </c>
      <c r="K61" s="21" t="e">
        <f t="shared" ca="1" si="6"/>
        <v>#NAME?</v>
      </c>
      <c r="L61" s="2">
        <v>0.11084498794684444</v>
      </c>
      <c r="M61" s="47" t="e">
        <f t="shared" ca="1" si="15"/>
        <v>#NAME?</v>
      </c>
      <c r="N61" s="47" t="e">
        <f t="shared" ca="1" si="7"/>
        <v>#NAME?</v>
      </c>
      <c r="O61" s="47" t="e">
        <f t="shared" ca="1" si="16"/>
        <v>#NAME?</v>
      </c>
      <c r="P61" s="47" t="e">
        <f t="shared" ca="1" si="17"/>
        <v>#NAME?</v>
      </c>
      <c r="Q61" s="62" t="e">
        <f t="shared" ca="1" si="8"/>
        <v>#NAME?</v>
      </c>
      <c r="R61" s="62" t="e">
        <f t="shared" ca="1" si="9"/>
        <v>#NAME?</v>
      </c>
      <c r="Y61" s="24">
        <f t="shared" si="10"/>
        <v>0.15255932203389833</v>
      </c>
      <c r="Z61" s="25">
        <f t="shared" si="11"/>
        <v>99.576271186440664</v>
      </c>
    </row>
    <row r="62" spans="2:26" x14ac:dyDescent="0.2">
      <c r="B62" s="25">
        <f t="shared" si="13"/>
        <v>360</v>
      </c>
      <c r="C62" s="24">
        <v>2</v>
      </c>
      <c r="D62" s="2" t="s">
        <v>76</v>
      </c>
      <c r="E62" s="2" t="s">
        <v>17</v>
      </c>
      <c r="F62" s="21">
        <v>1E-3</v>
      </c>
      <c r="G62" s="21" t="e">
        <f t="shared" ca="1" si="14"/>
        <v>#NAME?</v>
      </c>
      <c r="H62" s="21">
        <v>1</v>
      </c>
      <c r="I62" s="27" t="e">
        <f t="shared" ca="1" si="4"/>
        <v>#NAME?</v>
      </c>
      <c r="J62" s="27" t="e">
        <f t="shared" ca="1" si="5"/>
        <v>#NAME?</v>
      </c>
      <c r="K62" s="21" t="e">
        <f t="shared" ca="1" si="6"/>
        <v>#NAME?</v>
      </c>
      <c r="L62" s="2">
        <v>0.13976946079320296</v>
      </c>
      <c r="M62" s="47" t="e">
        <f t="shared" ca="1" si="15"/>
        <v>#NAME?</v>
      </c>
      <c r="N62" s="47" t="e">
        <f t="shared" ca="1" si="7"/>
        <v>#NAME?</v>
      </c>
      <c r="O62" s="47" t="e">
        <f t="shared" ca="1" si="16"/>
        <v>#NAME?</v>
      </c>
      <c r="P62" s="47" t="e">
        <f t="shared" ca="1" si="17"/>
        <v>#NAME?</v>
      </c>
      <c r="Q62" s="62" t="e">
        <f t="shared" ca="1" si="8"/>
        <v>#NAME?</v>
      </c>
      <c r="R62" s="62" t="e">
        <f t="shared" ca="1" si="9"/>
        <v>#NAME?</v>
      </c>
      <c r="Y62" s="24">
        <f t="shared" si="10"/>
        <v>0.15255932203389833</v>
      </c>
      <c r="Z62" s="25">
        <f t="shared" si="11"/>
        <v>109.57627118644066</v>
      </c>
    </row>
    <row r="63" spans="2:26" x14ac:dyDescent="0.2">
      <c r="B63" s="25">
        <f t="shared" si="13"/>
        <v>370</v>
      </c>
      <c r="C63" s="24">
        <v>2</v>
      </c>
      <c r="D63" s="2" t="s">
        <v>76</v>
      </c>
      <c r="E63" s="2" t="s">
        <v>17</v>
      </c>
      <c r="F63" s="21">
        <v>1E-3</v>
      </c>
      <c r="G63" s="21" t="e">
        <f t="shared" ca="1" si="14"/>
        <v>#NAME?</v>
      </c>
      <c r="H63" s="21">
        <v>1</v>
      </c>
      <c r="I63" s="27" t="e">
        <f t="shared" ca="1" si="4"/>
        <v>#NAME?</v>
      </c>
      <c r="J63" s="27" t="e">
        <f t="shared" ca="1" si="5"/>
        <v>#NAME?</v>
      </c>
      <c r="K63" s="21" t="e">
        <f t="shared" ca="1" si="6"/>
        <v>#NAME?</v>
      </c>
      <c r="L63" s="2">
        <v>0</v>
      </c>
      <c r="M63" s="47" t="e">
        <f t="shared" ca="1" si="15"/>
        <v>#NAME?</v>
      </c>
      <c r="N63" s="47" t="e">
        <f t="shared" ca="1" si="7"/>
        <v>#NAME?</v>
      </c>
      <c r="O63" s="47" t="e">
        <f t="shared" ca="1" si="16"/>
        <v>#NAME?</v>
      </c>
      <c r="P63" s="47" t="e">
        <f t="shared" ca="1" si="17"/>
        <v>#NAME?</v>
      </c>
      <c r="Q63" s="62" t="e">
        <f t="shared" ca="1" si="8"/>
        <v>#NAME?</v>
      </c>
      <c r="R63" s="62" t="e">
        <f t="shared" ca="1" si="9"/>
        <v>#NAME?</v>
      </c>
      <c r="Y63" s="24">
        <f t="shared" si="10"/>
        <v>0.15255932203389833</v>
      </c>
      <c r="Z63" s="25">
        <f t="shared" si="11"/>
        <v>119.57627118644066</v>
      </c>
    </row>
    <row r="64" spans="2:26" x14ac:dyDescent="0.2">
      <c r="B64" s="25">
        <f t="shared" ref="B64:B76" si="18">10+B63</f>
        <v>380</v>
      </c>
      <c r="C64" s="24">
        <v>2</v>
      </c>
      <c r="D64" s="2" t="s">
        <v>76</v>
      </c>
      <c r="E64" s="2" t="s">
        <v>17</v>
      </c>
      <c r="F64" s="21">
        <v>1E-3</v>
      </c>
      <c r="G64" s="21" t="e">
        <f t="shared" ca="1" si="14"/>
        <v>#NAME?</v>
      </c>
      <c r="H64" s="21">
        <v>1</v>
      </c>
      <c r="I64" s="27" t="e">
        <f t="shared" ca="1" si="4"/>
        <v>#NAME?</v>
      </c>
      <c r="J64" s="27" t="e">
        <f t="shared" ca="1" si="5"/>
        <v>#NAME?</v>
      </c>
      <c r="K64" s="21" t="e">
        <f t="shared" ca="1" si="6"/>
        <v>#NAME?</v>
      </c>
      <c r="L64" s="2">
        <v>0</v>
      </c>
      <c r="M64" s="47" t="e">
        <f t="shared" ca="1" si="15"/>
        <v>#NAME?</v>
      </c>
      <c r="N64" s="47" t="e">
        <f t="shared" ca="1" si="7"/>
        <v>#NAME?</v>
      </c>
      <c r="O64" s="47" t="e">
        <f t="shared" ca="1" si="16"/>
        <v>#NAME?</v>
      </c>
      <c r="P64" s="47" t="e">
        <f t="shared" ca="1" si="17"/>
        <v>#NAME?</v>
      </c>
      <c r="Q64" s="62" t="e">
        <f t="shared" ca="1" si="8"/>
        <v>#NAME?</v>
      </c>
      <c r="R64" s="62" t="e">
        <f t="shared" ca="1" si="9"/>
        <v>#NAME?</v>
      </c>
      <c r="Y64" s="24">
        <f t="shared" si="10"/>
        <v>0.15255932203389833</v>
      </c>
      <c r="Z64" s="25">
        <f t="shared" si="11"/>
        <v>129.57627118644066</v>
      </c>
    </row>
    <row r="65" spans="2:26" x14ac:dyDescent="0.2">
      <c r="B65" s="25">
        <f t="shared" si="18"/>
        <v>390</v>
      </c>
      <c r="C65" s="24">
        <v>2</v>
      </c>
      <c r="D65" s="2" t="s">
        <v>76</v>
      </c>
      <c r="E65" s="2" t="s">
        <v>17</v>
      </c>
      <c r="F65" s="21">
        <v>1E-3</v>
      </c>
      <c r="G65" s="21" t="e">
        <f t="shared" ca="1" si="14"/>
        <v>#NAME?</v>
      </c>
      <c r="H65" s="21">
        <v>1</v>
      </c>
      <c r="I65" s="27" t="e">
        <f t="shared" ca="1" si="4"/>
        <v>#NAME?</v>
      </c>
      <c r="J65" s="27" t="e">
        <f t="shared" ca="1" si="5"/>
        <v>#NAME?</v>
      </c>
      <c r="K65" s="21" t="e">
        <f t="shared" ca="1" si="6"/>
        <v>#NAME?</v>
      </c>
      <c r="L65" s="2">
        <v>0</v>
      </c>
      <c r="M65" s="47" t="e">
        <f t="shared" ca="1" si="15"/>
        <v>#NAME?</v>
      </c>
      <c r="N65" s="47" t="e">
        <f t="shared" ca="1" si="7"/>
        <v>#NAME?</v>
      </c>
      <c r="O65" s="47" t="e">
        <f t="shared" ca="1" si="16"/>
        <v>#NAME?</v>
      </c>
      <c r="P65" s="47" t="e">
        <f t="shared" ca="1" si="17"/>
        <v>#NAME?</v>
      </c>
      <c r="Q65" s="62" t="e">
        <f t="shared" ca="1" si="8"/>
        <v>#NAME?</v>
      </c>
      <c r="R65" s="62" t="e">
        <f t="shared" ca="1" si="9"/>
        <v>#NAME?</v>
      </c>
      <c r="Y65" s="24">
        <f t="shared" si="10"/>
        <v>0.15255932203389833</v>
      </c>
      <c r="Z65" s="25">
        <f t="shared" si="11"/>
        <v>139.57627118644066</v>
      </c>
    </row>
    <row r="66" spans="2:26" x14ac:dyDescent="0.2">
      <c r="B66" s="25">
        <f t="shared" si="18"/>
        <v>400</v>
      </c>
      <c r="C66" s="24">
        <v>2</v>
      </c>
      <c r="D66" s="2" t="s">
        <v>76</v>
      </c>
      <c r="E66" s="2" t="s">
        <v>17</v>
      </c>
      <c r="F66" s="21">
        <v>1E-3</v>
      </c>
      <c r="G66" s="21" t="e">
        <f t="shared" ca="1" si="14"/>
        <v>#NAME?</v>
      </c>
      <c r="H66" s="21">
        <v>1</v>
      </c>
      <c r="I66" s="27" t="e">
        <f t="shared" ca="1" si="4"/>
        <v>#NAME?</v>
      </c>
      <c r="J66" s="27" t="e">
        <f t="shared" ca="1" si="5"/>
        <v>#NAME?</v>
      </c>
      <c r="K66" s="21" t="e">
        <f t="shared" ca="1" si="6"/>
        <v>#NAME?</v>
      </c>
      <c r="L66" s="2">
        <v>0</v>
      </c>
      <c r="M66" s="47" t="e">
        <f t="shared" ca="1" si="15"/>
        <v>#NAME?</v>
      </c>
      <c r="N66" s="47" t="e">
        <f t="shared" ca="1" si="7"/>
        <v>#NAME?</v>
      </c>
      <c r="O66" s="47" t="e">
        <f t="shared" ca="1" si="16"/>
        <v>#NAME?</v>
      </c>
      <c r="P66" s="47" t="e">
        <f t="shared" ca="1" si="17"/>
        <v>#NAME?</v>
      </c>
      <c r="Q66" s="62" t="e">
        <f t="shared" ca="1" si="8"/>
        <v>#NAME?</v>
      </c>
      <c r="R66" s="62" t="e">
        <f t="shared" ca="1" si="9"/>
        <v>#NAME?</v>
      </c>
      <c r="Y66" s="24">
        <f t="shared" si="10"/>
        <v>0.15255932203389833</v>
      </c>
      <c r="Z66" s="25">
        <f t="shared" si="11"/>
        <v>149.57627118644066</v>
      </c>
    </row>
    <row r="67" spans="2:26" x14ac:dyDescent="0.2">
      <c r="B67" s="25">
        <f t="shared" si="18"/>
        <v>410</v>
      </c>
      <c r="C67" s="24">
        <v>2</v>
      </c>
      <c r="D67" s="2" t="s">
        <v>76</v>
      </c>
      <c r="E67" s="2" t="s">
        <v>17</v>
      </c>
      <c r="F67" s="21">
        <v>1E-3</v>
      </c>
      <c r="G67" s="21" t="e">
        <f t="shared" ca="1" si="14"/>
        <v>#NAME?</v>
      </c>
      <c r="H67" s="21">
        <v>1</v>
      </c>
      <c r="I67" s="27" t="e">
        <f t="shared" ca="1" si="4"/>
        <v>#NAME?</v>
      </c>
      <c r="J67" s="27" t="e">
        <f t="shared" ca="1" si="5"/>
        <v>#NAME?</v>
      </c>
      <c r="K67" s="21" t="e">
        <f t="shared" ca="1" si="6"/>
        <v>#NAME?</v>
      </c>
      <c r="L67" s="2">
        <v>0</v>
      </c>
      <c r="M67" s="47" t="e">
        <f t="shared" ca="1" si="15"/>
        <v>#NAME?</v>
      </c>
      <c r="N67" s="47" t="e">
        <f t="shared" ca="1" si="7"/>
        <v>#NAME?</v>
      </c>
      <c r="O67" s="47" t="e">
        <f t="shared" ca="1" si="16"/>
        <v>#NAME?</v>
      </c>
      <c r="P67" s="47" t="e">
        <f t="shared" ca="1" si="17"/>
        <v>#NAME?</v>
      </c>
      <c r="Q67" s="62" t="e">
        <f t="shared" ca="1" si="8"/>
        <v>#NAME?</v>
      </c>
      <c r="R67" s="62" t="e">
        <f t="shared" ca="1" si="9"/>
        <v>#NAME?</v>
      </c>
      <c r="Y67" s="24">
        <f t="shared" si="10"/>
        <v>0.15255932203389833</v>
      </c>
      <c r="Z67" s="25">
        <f t="shared" si="11"/>
        <v>159.57627118644066</v>
      </c>
    </row>
    <row r="68" spans="2:26" x14ac:dyDescent="0.2">
      <c r="B68" s="25">
        <f t="shared" si="18"/>
        <v>420</v>
      </c>
      <c r="C68" s="24">
        <v>2</v>
      </c>
      <c r="D68" s="2" t="s">
        <v>76</v>
      </c>
      <c r="E68" s="2" t="s">
        <v>17</v>
      </c>
      <c r="F68" s="21">
        <v>1E-3</v>
      </c>
      <c r="G68" s="21" t="e">
        <f t="shared" ca="1" si="14"/>
        <v>#NAME?</v>
      </c>
      <c r="H68" s="21">
        <v>1</v>
      </c>
      <c r="I68" s="27" t="e">
        <f t="shared" ca="1" si="4"/>
        <v>#NAME?</v>
      </c>
      <c r="J68" s="27" t="e">
        <f t="shared" ca="1" si="5"/>
        <v>#NAME?</v>
      </c>
      <c r="K68" s="21" t="e">
        <f t="shared" ca="1" si="6"/>
        <v>#NAME?</v>
      </c>
      <c r="L68" s="2">
        <v>0</v>
      </c>
      <c r="M68" s="47" t="e">
        <f t="shared" ca="1" si="15"/>
        <v>#NAME?</v>
      </c>
      <c r="N68" s="47" t="e">
        <f t="shared" ca="1" si="7"/>
        <v>#NAME?</v>
      </c>
      <c r="O68" s="47" t="e">
        <f t="shared" ca="1" si="16"/>
        <v>#NAME?</v>
      </c>
      <c r="P68" s="47" t="e">
        <f t="shared" ca="1" si="17"/>
        <v>#NAME?</v>
      </c>
      <c r="Q68" s="62" t="e">
        <f t="shared" ca="1" si="8"/>
        <v>#NAME?</v>
      </c>
      <c r="R68" s="62" t="e">
        <f t="shared" ca="1" si="9"/>
        <v>#NAME?</v>
      </c>
      <c r="Y68" s="24">
        <f t="shared" si="10"/>
        <v>0.15255932203389833</v>
      </c>
      <c r="Z68" s="25">
        <f t="shared" si="11"/>
        <v>169.57627118644066</v>
      </c>
    </row>
    <row r="69" spans="2:26" x14ac:dyDescent="0.2">
      <c r="B69" s="25">
        <f t="shared" si="18"/>
        <v>430</v>
      </c>
      <c r="C69" s="24">
        <v>2</v>
      </c>
      <c r="D69" s="2" t="s">
        <v>76</v>
      </c>
      <c r="E69" s="2" t="s">
        <v>17</v>
      </c>
      <c r="F69" s="21">
        <v>1E-3</v>
      </c>
      <c r="G69" s="21" t="e">
        <f t="shared" ca="1" si="14"/>
        <v>#NAME?</v>
      </c>
      <c r="H69" s="21">
        <v>1</v>
      </c>
      <c r="I69" s="27" t="e">
        <f t="shared" ca="1" si="4"/>
        <v>#NAME?</v>
      </c>
      <c r="J69" s="27" t="e">
        <f t="shared" ca="1" si="5"/>
        <v>#NAME?</v>
      </c>
      <c r="K69" s="21" t="e">
        <f t="shared" ca="1" si="6"/>
        <v>#NAME?</v>
      </c>
      <c r="L69" s="2">
        <v>0</v>
      </c>
      <c r="M69" s="47" t="e">
        <f t="shared" ca="1" si="15"/>
        <v>#NAME?</v>
      </c>
      <c r="N69" s="47" t="e">
        <f t="shared" ca="1" si="7"/>
        <v>#NAME?</v>
      </c>
      <c r="O69" s="47" t="e">
        <f t="shared" ca="1" si="16"/>
        <v>#NAME?</v>
      </c>
      <c r="P69" s="47" t="e">
        <f t="shared" ca="1" si="17"/>
        <v>#NAME?</v>
      </c>
      <c r="Q69" s="62" t="e">
        <f t="shared" ca="1" si="8"/>
        <v>#NAME?</v>
      </c>
      <c r="R69" s="62" t="e">
        <f t="shared" ca="1" si="9"/>
        <v>#NAME?</v>
      </c>
      <c r="Y69" s="24">
        <f t="shared" si="10"/>
        <v>0.15255932203389833</v>
      </c>
      <c r="Z69" s="25">
        <f t="shared" si="11"/>
        <v>179.57627118644066</v>
      </c>
    </row>
    <row r="70" spans="2:26" x14ac:dyDescent="0.2">
      <c r="B70" s="25">
        <f t="shared" si="18"/>
        <v>440</v>
      </c>
      <c r="C70" s="24">
        <v>2</v>
      </c>
      <c r="D70" s="2" t="s">
        <v>76</v>
      </c>
      <c r="E70" s="2" t="s">
        <v>17</v>
      </c>
      <c r="F70" s="21">
        <v>1E-3</v>
      </c>
      <c r="G70" s="21" t="e">
        <f t="shared" ca="1" si="14"/>
        <v>#NAME?</v>
      </c>
      <c r="H70" s="21">
        <v>1</v>
      </c>
      <c r="I70" s="27" t="e">
        <f t="shared" ca="1" si="4"/>
        <v>#NAME?</v>
      </c>
      <c r="J70" s="27" t="e">
        <f t="shared" ca="1" si="5"/>
        <v>#NAME?</v>
      </c>
      <c r="K70" s="21" t="e">
        <f t="shared" ca="1" si="6"/>
        <v>#NAME?</v>
      </c>
      <c r="L70" s="2">
        <v>0</v>
      </c>
      <c r="M70" s="47" t="e">
        <f t="shared" ca="1" si="15"/>
        <v>#NAME?</v>
      </c>
      <c r="N70" s="47" t="e">
        <f t="shared" ca="1" si="7"/>
        <v>#NAME?</v>
      </c>
      <c r="O70" s="47" t="e">
        <f t="shared" ca="1" si="16"/>
        <v>#NAME?</v>
      </c>
      <c r="P70" s="47" t="e">
        <f t="shared" ca="1" si="17"/>
        <v>#NAME?</v>
      </c>
      <c r="Q70" s="62" t="e">
        <f t="shared" ca="1" si="8"/>
        <v>#NAME?</v>
      </c>
      <c r="R70" s="62" t="e">
        <f t="shared" ca="1" si="9"/>
        <v>#NAME?</v>
      </c>
      <c r="Y70" s="24">
        <f t="shared" si="10"/>
        <v>0.15255932203389833</v>
      </c>
      <c r="Z70" s="25">
        <f t="shared" si="11"/>
        <v>189.57627118644066</v>
      </c>
    </row>
    <row r="71" spans="2:26" x14ac:dyDescent="0.2">
      <c r="B71" s="25">
        <f t="shared" si="18"/>
        <v>450</v>
      </c>
      <c r="C71" s="24">
        <v>2</v>
      </c>
      <c r="D71" s="2" t="s">
        <v>76</v>
      </c>
      <c r="E71" s="2" t="s">
        <v>17</v>
      </c>
      <c r="F71" s="21">
        <v>1E-3</v>
      </c>
      <c r="G71" s="21" t="e">
        <f t="shared" ca="1" si="14"/>
        <v>#NAME?</v>
      </c>
      <c r="H71" s="21">
        <v>1</v>
      </c>
      <c r="I71" s="27" t="e">
        <f t="shared" ca="1" si="4"/>
        <v>#NAME?</v>
      </c>
      <c r="J71" s="27" t="e">
        <f t="shared" ca="1" si="5"/>
        <v>#NAME?</v>
      </c>
      <c r="K71" s="21" t="e">
        <f t="shared" ca="1" si="6"/>
        <v>#NAME?</v>
      </c>
      <c r="L71" s="2">
        <v>0</v>
      </c>
      <c r="M71" s="47" t="e">
        <f t="shared" ca="1" si="15"/>
        <v>#NAME?</v>
      </c>
      <c r="N71" s="47" t="e">
        <f t="shared" ca="1" si="7"/>
        <v>#NAME?</v>
      </c>
      <c r="O71" s="47" t="e">
        <f t="shared" ca="1" si="16"/>
        <v>#NAME?</v>
      </c>
      <c r="P71" s="47" t="e">
        <f t="shared" ca="1" si="17"/>
        <v>#NAME?</v>
      </c>
      <c r="Q71" s="62" t="e">
        <f t="shared" ca="1" si="8"/>
        <v>#NAME?</v>
      </c>
      <c r="R71" s="62" t="e">
        <f t="shared" ca="1" si="9"/>
        <v>#NAME?</v>
      </c>
      <c r="Y71" s="24">
        <f t="shared" si="10"/>
        <v>0.15255932203389833</v>
      </c>
      <c r="Z71" s="25">
        <f t="shared" si="11"/>
        <v>199.57627118644066</v>
      </c>
    </row>
    <row r="72" spans="2:26" x14ac:dyDescent="0.2">
      <c r="B72" s="25">
        <f t="shared" si="18"/>
        <v>460</v>
      </c>
      <c r="C72" s="24">
        <v>2</v>
      </c>
      <c r="D72" s="2" t="s">
        <v>76</v>
      </c>
      <c r="E72" s="2" t="s">
        <v>17</v>
      </c>
      <c r="F72" s="21">
        <v>1E-3</v>
      </c>
      <c r="G72" s="21" t="e">
        <f t="shared" ca="1" si="14"/>
        <v>#NAME?</v>
      </c>
      <c r="H72" s="21">
        <v>1</v>
      </c>
      <c r="I72" s="27" t="e">
        <f t="shared" ca="1" si="4"/>
        <v>#NAME?</v>
      </c>
      <c r="J72" s="27" t="e">
        <f t="shared" ca="1" si="5"/>
        <v>#NAME?</v>
      </c>
      <c r="K72" s="21" t="e">
        <f t="shared" ca="1" si="6"/>
        <v>#NAME?</v>
      </c>
      <c r="L72" s="2">
        <v>0</v>
      </c>
      <c r="M72" s="47" t="e">
        <f t="shared" ca="1" si="15"/>
        <v>#NAME?</v>
      </c>
      <c r="N72" s="47" t="e">
        <f t="shared" ca="1" si="7"/>
        <v>#NAME?</v>
      </c>
      <c r="O72" s="47" t="e">
        <f t="shared" ca="1" si="16"/>
        <v>#NAME?</v>
      </c>
      <c r="P72" s="47" t="e">
        <f t="shared" ca="1" si="17"/>
        <v>#NAME?</v>
      </c>
      <c r="Q72" s="62" t="e">
        <f t="shared" ca="1" si="8"/>
        <v>#NAME?</v>
      </c>
      <c r="R72" s="62" t="e">
        <f t="shared" ca="1" si="9"/>
        <v>#NAME?</v>
      </c>
      <c r="Y72" s="24">
        <f t="shared" si="10"/>
        <v>0.15255932203389833</v>
      </c>
      <c r="Z72" s="25">
        <f t="shared" si="11"/>
        <v>209.57627118644066</v>
      </c>
    </row>
    <row r="73" spans="2:26" x14ac:dyDescent="0.2">
      <c r="B73" s="25">
        <f>10+B72</f>
        <v>470</v>
      </c>
      <c r="C73" s="24">
        <v>2</v>
      </c>
      <c r="D73" s="2" t="s">
        <v>76</v>
      </c>
      <c r="E73" s="2" t="s">
        <v>17</v>
      </c>
      <c r="F73" s="21">
        <v>1E-3</v>
      </c>
      <c r="G73" s="21" t="e">
        <f t="shared" ca="1" si="14"/>
        <v>#NAME?</v>
      </c>
      <c r="H73" s="21">
        <v>1</v>
      </c>
      <c r="I73" s="27" t="e">
        <f t="shared" ca="1" si="4"/>
        <v>#NAME?</v>
      </c>
      <c r="J73" s="27" t="e">
        <f t="shared" ca="1" si="5"/>
        <v>#NAME?</v>
      </c>
      <c r="K73" s="21" t="e">
        <f t="shared" ca="1" si="6"/>
        <v>#NAME?</v>
      </c>
      <c r="L73" s="2">
        <v>0</v>
      </c>
      <c r="M73" s="47" t="e">
        <f t="shared" ca="1" si="15"/>
        <v>#NAME?</v>
      </c>
      <c r="N73" s="47" t="e">
        <f t="shared" ca="1" si="7"/>
        <v>#NAME?</v>
      </c>
      <c r="O73" s="47" t="e">
        <f t="shared" ca="1" si="16"/>
        <v>#NAME?</v>
      </c>
      <c r="P73" s="47" t="e">
        <f t="shared" ca="1" si="17"/>
        <v>#NAME?</v>
      </c>
      <c r="Q73" s="62" t="e">
        <f t="shared" ca="1" si="8"/>
        <v>#NAME?</v>
      </c>
      <c r="R73" s="62" t="e">
        <f t="shared" ca="1" si="9"/>
        <v>#NAME?</v>
      </c>
      <c r="Y73" s="24">
        <f t="shared" si="10"/>
        <v>0.15255932203389833</v>
      </c>
      <c r="Z73" s="25">
        <f t="shared" si="11"/>
        <v>219.57627118644066</v>
      </c>
    </row>
    <row r="74" spans="2:26" x14ac:dyDescent="0.2">
      <c r="B74" s="25">
        <f>10+B73</f>
        <v>480</v>
      </c>
      <c r="C74" s="24">
        <v>2</v>
      </c>
      <c r="D74" s="2" t="s">
        <v>76</v>
      </c>
      <c r="E74" s="2" t="s">
        <v>17</v>
      </c>
      <c r="F74" s="21">
        <v>1E-3</v>
      </c>
      <c r="G74" s="21" t="e">
        <f t="shared" ca="1" si="14"/>
        <v>#NAME?</v>
      </c>
      <c r="H74" s="21">
        <v>1</v>
      </c>
      <c r="I74" s="27" t="e">
        <f t="shared" ca="1" si="4"/>
        <v>#NAME?</v>
      </c>
      <c r="J74" s="27" t="e">
        <f t="shared" ca="1" si="5"/>
        <v>#NAME?</v>
      </c>
      <c r="K74" s="21" t="e">
        <f t="shared" ca="1" si="6"/>
        <v>#NAME?</v>
      </c>
      <c r="L74" s="2">
        <v>0</v>
      </c>
      <c r="M74" s="47" t="e">
        <f t="shared" ca="1" si="15"/>
        <v>#NAME?</v>
      </c>
      <c r="N74" s="47" t="e">
        <f t="shared" ca="1" si="7"/>
        <v>#NAME?</v>
      </c>
      <c r="O74" s="47" t="e">
        <f t="shared" ca="1" si="16"/>
        <v>#NAME?</v>
      </c>
      <c r="P74" s="47" t="e">
        <f t="shared" ca="1" si="17"/>
        <v>#NAME?</v>
      </c>
      <c r="Q74" s="62" t="e">
        <f t="shared" ca="1" si="8"/>
        <v>#NAME?</v>
      </c>
      <c r="R74" s="62" t="e">
        <f t="shared" ca="1" si="9"/>
        <v>#NAME?</v>
      </c>
      <c r="Y74" s="24">
        <f t="shared" si="10"/>
        <v>0.15255932203389833</v>
      </c>
      <c r="Z74" s="25">
        <f t="shared" si="11"/>
        <v>229.57627118644066</v>
      </c>
    </row>
    <row r="75" spans="2:26" x14ac:dyDescent="0.2">
      <c r="B75" s="25">
        <f>10+B74</f>
        <v>490</v>
      </c>
      <c r="C75" s="24">
        <v>2</v>
      </c>
      <c r="D75" s="2" t="s">
        <v>76</v>
      </c>
      <c r="E75" s="2" t="s">
        <v>17</v>
      </c>
      <c r="F75" s="21">
        <v>1E-3</v>
      </c>
      <c r="G75" s="21" t="e">
        <f t="shared" ca="1" si="14"/>
        <v>#NAME?</v>
      </c>
      <c r="H75" s="21">
        <v>1</v>
      </c>
      <c r="I75" s="27" t="e">
        <f t="shared" ca="1" si="4"/>
        <v>#NAME?</v>
      </c>
      <c r="J75" s="27" t="e">
        <f t="shared" ca="1" si="5"/>
        <v>#NAME?</v>
      </c>
      <c r="K75" s="21" t="e">
        <f t="shared" ca="1" si="6"/>
        <v>#NAME?</v>
      </c>
      <c r="L75" s="2">
        <v>0</v>
      </c>
      <c r="M75" s="47" t="e">
        <f t="shared" ca="1" si="15"/>
        <v>#NAME?</v>
      </c>
      <c r="N75" s="47" t="e">
        <f t="shared" ca="1" si="7"/>
        <v>#NAME?</v>
      </c>
      <c r="O75" s="47" t="e">
        <f t="shared" ca="1" si="16"/>
        <v>#NAME?</v>
      </c>
      <c r="P75" s="47" t="e">
        <f t="shared" ca="1" si="17"/>
        <v>#NAME?</v>
      </c>
      <c r="Q75" s="62" t="e">
        <f t="shared" ca="1" si="8"/>
        <v>#NAME?</v>
      </c>
      <c r="R75" s="62" t="e">
        <f t="shared" ca="1" si="9"/>
        <v>#NAME?</v>
      </c>
      <c r="Y75" s="24">
        <f t="shared" si="10"/>
        <v>0.15255932203389833</v>
      </c>
      <c r="Z75" s="25">
        <f t="shared" si="11"/>
        <v>239.57627118644066</v>
      </c>
    </row>
    <row r="76" spans="2:26" x14ac:dyDescent="0.2">
      <c r="B76" s="25">
        <f t="shared" si="18"/>
        <v>500</v>
      </c>
      <c r="C76" s="24">
        <v>2</v>
      </c>
      <c r="D76" s="2" t="s">
        <v>76</v>
      </c>
      <c r="E76" s="2" t="s">
        <v>17</v>
      </c>
      <c r="F76" s="21">
        <v>1E-3</v>
      </c>
      <c r="G76" s="21" t="e">
        <f t="shared" ca="1" si="14"/>
        <v>#NAME?</v>
      </c>
      <c r="H76" s="21">
        <v>1</v>
      </c>
      <c r="I76" s="27" t="e">
        <f t="shared" ca="1" si="4"/>
        <v>#NAME?</v>
      </c>
      <c r="J76" s="27" t="e">
        <f t="shared" ca="1" si="5"/>
        <v>#NAME?</v>
      </c>
      <c r="K76" s="21" t="e">
        <f t="shared" ca="1" si="6"/>
        <v>#NAME?</v>
      </c>
      <c r="L76" s="2">
        <v>0</v>
      </c>
      <c r="M76" s="47" t="e">
        <f t="shared" ca="1" si="15"/>
        <v>#NAME?</v>
      </c>
      <c r="N76" s="47" t="e">
        <f t="shared" ca="1" si="7"/>
        <v>#NAME?</v>
      </c>
      <c r="O76" s="47" t="e">
        <f t="shared" ca="1" si="16"/>
        <v>#NAME?</v>
      </c>
      <c r="P76" s="47" t="e">
        <f t="shared" ca="1" si="17"/>
        <v>#NAME?</v>
      </c>
      <c r="Q76" s="62" t="e">
        <f t="shared" ca="1" si="8"/>
        <v>#NAME?</v>
      </c>
      <c r="R76" s="62" t="e">
        <f t="shared" ca="1" si="9"/>
        <v>#NAME?</v>
      </c>
      <c r="Y76" s="24">
        <f t="shared" si="10"/>
        <v>0.15255932203389833</v>
      </c>
      <c r="Z76" s="25">
        <f t="shared" si="11"/>
        <v>249.57627118644066</v>
      </c>
    </row>
    <row r="77" spans="2:26" x14ac:dyDescent="0.2">
      <c r="B77" s="25">
        <v>10</v>
      </c>
      <c r="C77" s="24">
        <v>2</v>
      </c>
      <c r="D77" s="2" t="s">
        <v>74</v>
      </c>
      <c r="E77" s="2" t="s">
        <v>17</v>
      </c>
      <c r="F77" s="21">
        <v>1E-3</v>
      </c>
      <c r="G77" s="21" t="e">
        <f t="shared" ref="G77:G108" ca="1" si="19">MAX(D$23,cde(C77,B77,C$20,C$12,C$13,C$14,C$15,C$17,E77,C$18,C$19))</f>
        <v>#NAME?</v>
      </c>
      <c r="H77" s="21">
        <v>10</v>
      </c>
      <c r="I77" s="27" t="e">
        <f t="shared" ca="1" si="4"/>
        <v>#NAME?</v>
      </c>
      <c r="J77" s="27" t="e">
        <f t="shared" ca="1" si="5"/>
        <v>#NAME?</v>
      </c>
      <c r="K77" s="21" t="e">
        <f t="shared" ca="1" si="6"/>
        <v>#NAME?</v>
      </c>
      <c r="L77" s="2">
        <v>0</v>
      </c>
      <c r="M77" s="47" t="e">
        <f t="shared" ca="1" si="15"/>
        <v>#NAME?</v>
      </c>
      <c r="N77" s="47" t="e">
        <f t="shared" ca="1" si="7"/>
        <v>#NAME?</v>
      </c>
      <c r="O77" s="47" t="e">
        <f t="shared" ca="1" si="16"/>
        <v>#NAME?</v>
      </c>
      <c r="P77" s="47" t="e">
        <f t="shared" ca="1" si="17"/>
        <v>#NAME?</v>
      </c>
      <c r="Q77" s="62" t="e">
        <f t="shared" ca="1" si="8"/>
        <v>#NAME?</v>
      </c>
      <c r="R77" s="62" t="e">
        <f t="shared" ca="1" si="9"/>
        <v>#NAME?</v>
      </c>
      <c r="Y77" s="24">
        <f t="shared" si="10"/>
        <v>0.15255932203389833</v>
      </c>
      <c r="Z77" s="25">
        <f t="shared" si="11"/>
        <v>-240.42372881355934</v>
      </c>
    </row>
    <row r="78" spans="2:26" x14ac:dyDescent="0.2">
      <c r="B78" s="25">
        <f>B77+10</f>
        <v>20</v>
      </c>
      <c r="C78" s="24">
        <v>2</v>
      </c>
      <c r="D78" s="2" t="s">
        <v>74</v>
      </c>
      <c r="E78" s="2" t="s">
        <v>17</v>
      </c>
      <c r="F78" s="21">
        <v>1E-3</v>
      </c>
      <c r="G78" s="21" t="e">
        <f t="shared" ca="1" si="19"/>
        <v>#NAME?</v>
      </c>
      <c r="H78" s="21">
        <v>10</v>
      </c>
      <c r="I78" s="27" t="e">
        <f t="shared" ca="1" si="4"/>
        <v>#NAME?</v>
      </c>
      <c r="J78" s="27" t="e">
        <f t="shared" ca="1" si="5"/>
        <v>#NAME?</v>
      </c>
      <c r="K78" s="21" t="e">
        <f t="shared" ca="1" si="6"/>
        <v>#NAME?</v>
      </c>
      <c r="L78" s="2">
        <v>0</v>
      </c>
      <c r="M78" s="47" t="e">
        <f t="shared" ca="1" si="15"/>
        <v>#NAME?</v>
      </c>
      <c r="N78" s="47" t="e">
        <f t="shared" ca="1" si="7"/>
        <v>#NAME?</v>
      </c>
      <c r="O78" s="47" t="e">
        <f t="shared" ca="1" si="16"/>
        <v>#NAME?</v>
      </c>
      <c r="P78" s="47" t="e">
        <f t="shared" ca="1" si="17"/>
        <v>#NAME?</v>
      </c>
      <c r="Q78" s="62" t="e">
        <f t="shared" ca="1" si="8"/>
        <v>#NAME?</v>
      </c>
      <c r="R78" s="62" t="e">
        <f t="shared" ca="1" si="9"/>
        <v>#NAME?</v>
      </c>
      <c r="Y78" s="24">
        <f t="shared" si="10"/>
        <v>0.15255932203389833</v>
      </c>
      <c r="Z78" s="25">
        <f t="shared" si="11"/>
        <v>-230.42372881355934</v>
      </c>
    </row>
    <row r="79" spans="2:26" x14ac:dyDescent="0.2">
      <c r="B79" s="25">
        <f t="shared" ref="B79:B126" si="20">B78+10</f>
        <v>30</v>
      </c>
      <c r="C79" s="24">
        <v>2</v>
      </c>
      <c r="D79" s="2" t="s">
        <v>74</v>
      </c>
      <c r="E79" s="2" t="s">
        <v>17</v>
      </c>
      <c r="F79" s="21">
        <v>1E-3</v>
      </c>
      <c r="G79" s="21" t="e">
        <f t="shared" ca="1" si="19"/>
        <v>#NAME?</v>
      </c>
      <c r="H79" s="21">
        <v>10</v>
      </c>
      <c r="I79" s="27" t="e">
        <f t="shared" ca="1" si="4"/>
        <v>#NAME?</v>
      </c>
      <c r="J79" s="27" t="e">
        <f t="shared" ca="1" si="5"/>
        <v>#NAME?</v>
      </c>
      <c r="K79" s="21" t="e">
        <f t="shared" ca="1" si="6"/>
        <v>#NAME?</v>
      </c>
      <c r="L79" s="2">
        <v>0</v>
      </c>
      <c r="M79" s="47" t="e">
        <f t="shared" ca="1" si="15"/>
        <v>#NAME?</v>
      </c>
      <c r="N79" s="47" t="e">
        <f t="shared" ca="1" si="7"/>
        <v>#NAME?</v>
      </c>
      <c r="O79" s="47" t="e">
        <f t="shared" ca="1" si="16"/>
        <v>#NAME?</v>
      </c>
      <c r="P79" s="47" t="e">
        <f t="shared" ca="1" si="17"/>
        <v>#NAME?</v>
      </c>
      <c r="Q79" s="62" t="e">
        <f t="shared" ca="1" si="8"/>
        <v>#NAME?</v>
      </c>
      <c r="R79" s="62" t="e">
        <f t="shared" ca="1" si="9"/>
        <v>#NAME?</v>
      </c>
      <c r="Y79" s="24">
        <f t="shared" si="10"/>
        <v>0.15255932203389833</v>
      </c>
      <c r="Z79" s="25">
        <f t="shared" si="11"/>
        <v>-220.42372881355934</v>
      </c>
    </row>
    <row r="80" spans="2:26" x14ac:dyDescent="0.2">
      <c r="B80" s="25">
        <f t="shared" si="20"/>
        <v>40</v>
      </c>
      <c r="C80" s="24">
        <v>2</v>
      </c>
      <c r="D80" s="2" t="s">
        <v>74</v>
      </c>
      <c r="E80" s="2" t="s">
        <v>17</v>
      </c>
      <c r="F80" s="21">
        <v>1E-3</v>
      </c>
      <c r="G80" s="21" t="e">
        <f t="shared" ca="1" si="19"/>
        <v>#NAME?</v>
      </c>
      <c r="H80" s="21">
        <v>10</v>
      </c>
      <c r="I80" s="27" t="e">
        <f t="shared" ca="1" si="4"/>
        <v>#NAME?</v>
      </c>
      <c r="J80" s="27" t="e">
        <f t="shared" ca="1" si="5"/>
        <v>#NAME?</v>
      </c>
      <c r="K80" s="21" t="e">
        <f t="shared" ca="1" si="6"/>
        <v>#NAME?</v>
      </c>
      <c r="L80" s="2">
        <v>0</v>
      </c>
      <c r="M80" s="47" t="e">
        <f t="shared" ca="1" si="15"/>
        <v>#NAME?</v>
      </c>
      <c r="N80" s="47" t="e">
        <f t="shared" ca="1" si="7"/>
        <v>#NAME?</v>
      </c>
      <c r="O80" s="47" t="e">
        <f t="shared" ca="1" si="16"/>
        <v>#NAME?</v>
      </c>
      <c r="P80" s="47" t="e">
        <f t="shared" ca="1" si="17"/>
        <v>#NAME?</v>
      </c>
      <c r="Q80" s="62" t="e">
        <f t="shared" ca="1" si="8"/>
        <v>#NAME?</v>
      </c>
      <c r="R80" s="62" t="e">
        <f t="shared" ca="1" si="9"/>
        <v>#NAME?</v>
      </c>
      <c r="Y80" s="24">
        <f t="shared" si="10"/>
        <v>0.15255932203389833</v>
      </c>
      <c r="Z80" s="25">
        <f t="shared" si="11"/>
        <v>-210.42372881355934</v>
      </c>
    </row>
    <row r="81" spans="2:26" x14ac:dyDescent="0.2">
      <c r="B81" s="25">
        <f t="shared" si="20"/>
        <v>50</v>
      </c>
      <c r="C81" s="24">
        <v>2</v>
      </c>
      <c r="D81" s="2" t="s">
        <v>74</v>
      </c>
      <c r="E81" s="2" t="s">
        <v>17</v>
      </c>
      <c r="F81" s="21">
        <v>1E-3</v>
      </c>
      <c r="G81" s="21" t="e">
        <f t="shared" ca="1" si="19"/>
        <v>#NAME?</v>
      </c>
      <c r="H81" s="21">
        <v>10</v>
      </c>
      <c r="I81" s="27" t="e">
        <f t="shared" ca="1" si="4"/>
        <v>#NAME?</v>
      </c>
      <c r="J81" s="27" t="e">
        <f t="shared" ca="1" si="5"/>
        <v>#NAME?</v>
      </c>
      <c r="K81" s="21" t="e">
        <f t="shared" ca="1" si="6"/>
        <v>#NAME?</v>
      </c>
      <c r="L81" s="2">
        <v>0</v>
      </c>
      <c r="M81" s="47" t="e">
        <f t="shared" ca="1" si="15"/>
        <v>#NAME?</v>
      </c>
      <c r="N81" s="47" t="e">
        <f t="shared" ca="1" si="7"/>
        <v>#NAME?</v>
      </c>
      <c r="O81" s="47" t="e">
        <f t="shared" ca="1" si="16"/>
        <v>#NAME?</v>
      </c>
      <c r="P81" s="47" t="e">
        <f t="shared" ca="1" si="17"/>
        <v>#NAME?</v>
      </c>
      <c r="Q81" s="62" t="e">
        <f t="shared" ca="1" si="8"/>
        <v>#NAME?</v>
      </c>
      <c r="R81" s="62" t="e">
        <f t="shared" ca="1" si="9"/>
        <v>#NAME?</v>
      </c>
      <c r="Y81" s="24">
        <f t="shared" si="10"/>
        <v>0.15255932203389833</v>
      </c>
      <c r="Z81" s="25">
        <f t="shared" si="11"/>
        <v>-200.42372881355934</v>
      </c>
    </row>
    <row r="82" spans="2:26" x14ac:dyDescent="0.2">
      <c r="B82" s="25">
        <f t="shared" si="20"/>
        <v>60</v>
      </c>
      <c r="C82" s="24">
        <v>2</v>
      </c>
      <c r="D82" s="2" t="s">
        <v>74</v>
      </c>
      <c r="E82" s="2" t="s">
        <v>17</v>
      </c>
      <c r="F82" s="21">
        <v>1E-3</v>
      </c>
      <c r="G82" s="21" t="e">
        <f t="shared" ca="1" si="19"/>
        <v>#NAME?</v>
      </c>
      <c r="H82" s="21">
        <v>10</v>
      </c>
      <c r="I82" s="27" t="e">
        <f t="shared" ca="1" si="4"/>
        <v>#NAME?</v>
      </c>
      <c r="J82" s="27" t="e">
        <f t="shared" ca="1" si="5"/>
        <v>#NAME?</v>
      </c>
      <c r="K82" s="21" t="e">
        <f t="shared" ca="1" si="6"/>
        <v>#NAME?</v>
      </c>
      <c r="L82" s="2">
        <v>0</v>
      </c>
      <c r="M82" s="47" t="e">
        <f t="shared" ca="1" si="15"/>
        <v>#NAME?</v>
      </c>
      <c r="N82" s="47" t="e">
        <f t="shared" ca="1" si="7"/>
        <v>#NAME?</v>
      </c>
      <c r="O82" s="47" t="e">
        <f t="shared" ca="1" si="16"/>
        <v>#NAME?</v>
      </c>
      <c r="P82" s="47" t="e">
        <f t="shared" ca="1" si="17"/>
        <v>#NAME?</v>
      </c>
      <c r="Q82" s="62" t="e">
        <f t="shared" ca="1" si="8"/>
        <v>#NAME?</v>
      </c>
      <c r="R82" s="62" t="e">
        <f t="shared" ca="1" si="9"/>
        <v>#NAME?</v>
      </c>
      <c r="Y82" s="24">
        <f t="shared" si="10"/>
        <v>0.15255932203389833</v>
      </c>
      <c r="Z82" s="25">
        <f t="shared" si="11"/>
        <v>-190.42372881355934</v>
      </c>
    </row>
    <row r="83" spans="2:26" x14ac:dyDescent="0.2">
      <c r="B83" s="25">
        <f t="shared" si="20"/>
        <v>70</v>
      </c>
      <c r="C83" s="24">
        <v>2</v>
      </c>
      <c r="D83" s="2" t="s">
        <v>74</v>
      </c>
      <c r="E83" s="2" t="s">
        <v>17</v>
      </c>
      <c r="F83" s="21">
        <v>0.01</v>
      </c>
      <c r="G83" s="21" t="e">
        <f t="shared" ca="1" si="19"/>
        <v>#NAME?</v>
      </c>
      <c r="H83" s="21">
        <v>10</v>
      </c>
      <c r="I83" s="27" t="e">
        <f t="shared" ca="1" si="4"/>
        <v>#NAME?</v>
      </c>
      <c r="J83" s="27" t="e">
        <f t="shared" ca="1" si="5"/>
        <v>#NAME?</v>
      </c>
      <c r="K83" s="21" t="e">
        <f t="shared" ca="1" si="6"/>
        <v>#NAME?</v>
      </c>
      <c r="L83" s="2">
        <v>6.5990579419478941</v>
      </c>
      <c r="M83" s="47" t="e">
        <f t="shared" ca="1" si="15"/>
        <v>#NAME?</v>
      </c>
      <c r="N83" s="47" t="e">
        <f t="shared" ca="1" si="7"/>
        <v>#NAME?</v>
      </c>
      <c r="O83" s="47" t="e">
        <f t="shared" ca="1" si="16"/>
        <v>#NAME?</v>
      </c>
      <c r="P83" s="47" t="e">
        <f t="shared" ca="1" si="17"/>
        <v>#NAME?</v>
      </c>
      <c r="Q83" s="62" t="e">
        <f t="shared" ca="1" si="8"/>
        <v>#NAME?</v>
      </c>
      <c r="R83" s="62" t="e">
        <f t="shared" ca="1" si="9"/>
        <v>#NAME?</v>
      </c>
      <c r="Y83" s="24">
        <f t="shared" si="10"/>
        <v>0.15255932203389833</v>
      </c>
      <c r="Z83" s="25">
        <f t="shared" si="11"/>
        <v>-180.42372881355934</v>
      </c>
    </row>
    <row r="84" spans="2:26" x14ac:dyDescent="0.2">
      <c r="B84" s="25">
        <f t="shared" si="20"/>
        <v>80</v>
      </c>
      <c r="C84" s="24">
        <v>2</v>
      </c>
      <c r="D84" s="2" t="s">
        <v>74</v>
      </c>
      <c r="E84" s="2" t="s">
        <v>17</v>
      </c>
      <c r="F84" s="21">
        <v>0.03</v>
      </c>
      <c r="G84" s="21" t="e">
        <f t="shared" ca="1" si="19"/>
        <v>#NAME?</v>
      </c>
      <c r="H84" s="21">
        <v>10</v>
      </c>
      <c r="I84" s="27" t="e">
        <f t="shared" ca="1" si="4"/>
        <v>#NAME?</v>
      </c>
      <c r="J84" s="27" t="e">
        <f t="shared" ca="1" si="5"/>
        <v>#NAME?</v>
      </c>
      <c r="K84" s="21" t="e">
        <f t="shared" ca="1" si="6"/>
        <v>#NAME?</v>
      </c>
      <c r="L84" s="2">
        <v>4.9571440315507216</v>
      </c>
      <c r="M84" s="47" t="e">
        <f t="shared" ca="1" si="15"/>
        <v>#NAME?</v>
      </c>
      <c r="N84" s="47" t="e">
        <f t="shared" ca="1" si="7"/>
        <v>#NAME?</v>
      </c>
      <c r="O84" s="47" t="e">
        <f t="shared" ca="1" si="16"/>
        <v>#NAME?</v>
      </c>
      <c r="P84" s="47" t="e">
        <f t="shared" ca="1" si="17"/>
        <v>#NAME?</v>
      </c>
      <c r="Q84" s="62" t="e">
        <f t="shared" ca="1" si="8"/>
        <v>#NAME?</v>
      </c>
      <c r="R84" s="62" t="e">
        <f t="shared" ca="1" si="9"/>
        <v>#NAME?</v>
      </c>
      <c r="Y84" s="24">
        <f t="shared" si="10"/>
        <v>0.15255932203389833</v>
      </c>
      <c r="Z84" s="25">
        <f t="shared" si="11"/>
        <v>-170.42372881355934</v>
      </c>
    </row>
    <row r="85" spans="2:26" x14ac:dyDescent="0.2">
      <c r="B85" s="25">
        <f t="shared" si="20"/>
        <v>90</v>
      </c>
      <c r="C85" s="24">
        <v>2</v>
      </c>
      <c r="D85" s="2" t="s">
        <v>74</v>
      </c>
      <c r="E85" s="2" t="s">
        <v>17</v>
      </c>
      <c r="F85" s="21">
        <v>0.14000000000000001</v>
      </c>
      <c r="G85" s="21" t="e">
        <f t="shared" ca="1" si="19"/>
        <v>#NAME?</v>
      </c>
      <c r="H85" s="21">
        <v>10</v>
      </c>
      <c r="I85" s="27" t="e">
        <f t="shared" ca="1" si="4"/>
        <v>#NAME?</v>
      </c>
      <c r="J85" s="27" t="e">
        <f t="shared" ca="1" si="5"/>
        <v>#NAME?</v>
      </c>
      <c r="K85" s="21" t="e">
        <f t="shared" ca="1" si="6"/>
        <v>#NAME?</v>
      </c>
      <c r="L85" s="2">
        <v>3.8516587727513421</v>
      </c>
      <c r="M85" s="47" t="e">
        <f t="shared" ca="1" si="15"/>
        <v>#NAME?</v>
      </c>
      <c r="N85" s="47" t="e">
        <f t="shared" ca="1" si="7"/>
        <v>#NAME?</v>
      </c>
      <c r="O85" s="47" t="e">
        <f t="shared" ca="1" si="16"/>
        <v>#NAME?</v>
      </c>
      <c r="P85" s="47" t="e">
        <f t="shared" ca="1" si="17"/>
        <v>#NAME?</v>
      </c>
      <c r="Q85" s="62" t="e">
        <f t="shared" ca="1" si="8"/>
        <v>#NAME?</v>
      </c>
      <c r="R85" s="62" t="e">
        <f t="shared" ca="1" si="9"/>
        <v>#NAME?</v>
      </c>
      <c r="Y85" s="24">
        <f t="shared" si="10"/>
        <v>0.15255932203389833</v>
      </c>
      <c r="Z85" s="25">
        <f t="shared" si="11"/>
        <v>-160.42372881355934</v>
      </c>
    </row>
    <row r="86" spans="2:26" x14ac:dyDescent="0.2">
      <c r="B86" s="25">
        <f t="shared" si="20"/>
        <v>100</v>
      </c>
      <c r="C86" s="24">
        <v>2</v>
      </c>
      <c r="D86" s="2" t="s">
        <v>74</v>
      </c>
      <c r="E86" s="2" t="s">
        <v>17</v>
      </c>
      <c r="F86" s="21">
        <v>0.38</v>
      </c>
      <c r="G86" s="21" t="e">
        <f t="shared" ca="1" si="19"/>
        <v>#NAME?</v>
      </c>
      <c r="H86" s="21">
        <v>10</v>
      </c>
      <c r="I86" s="27" t="e">
        <f t="shared" ca="1" si="4"/>
        <v>#NAME?</v>
      </c>
      <c r="J86" s="27" t="e">
        <f t="shared" ca="1" si="5"/>
        <v>#NAME?</v>
      </c>
      <c r="K86" s="21" t="e">
        <f t="shared" ca="1" si="6"/>
        <v>#NAME?</v>
      </c>
      <c r="L86" s="2">
        <v>3.0680130871192883</v>
      </c>
      <c r="M86" s="47" t="e">
        <f t="shared" ca="1" si="15"/>
        <v>#NAME?</v>
      </c>
      <c r="N86" s="47" t="e">
        <f t="shared" ca="1" si="7"/>
        <v>#NAME?</v>
      </c>
      <c r="O86" s="47" t="e">
        <f t="shared" ca="1" si="16"/>
        <v>#NAME?</v>
      </c>
      <c r="P86" s="47" t="e">
        <f t="shared" ca="1" si="17"/>
        <v>#NAME?</v>
      </c>
      <c r="Q86" s="62" t="e">
        <f t="shared" ca="1" si="8"/>
        <v>#NAME?</v>
      </c>
      <c r="R86" s="62" t="e">
        <f t="shared" ca="1" si="9"/>
        <v>#NAME?</v>
      </c>
      <c r="Y86" s="24">
        <f t="shared" si="10"/>
        <v>0.15255932203389833</v>
      </c>
      <c r="Z86" s="25">
        <f t="shared" si="11"/>
        <v>-150.42372881355934</v>
      </c>
    </row>
    <row r="87" spans="2:26" x14ac:dyDescent="0.2">
      <c r="B87" s="25">
        <f t="shared" si="20"/>
        <v>110</v>
      </c>
      <c r="C87" s="24">
        <v>2</v>
      </c>
      <c r="D87" s="2" t="s">
        <v>74</v>
      </c>
      <c r="E87" s="2" t="s">
        <v>17</v>
      </c>
      <c r="F87" s="21">
        <v>0.77</v>
      </c>
      <c r="G87" s="21" t="e">
        <f t="shared" ca="1" si="19"/>
        <v>#NAME?</v>
      </c>
      <c r="H87" s="21">
        <v>10</v>
      </c>
      <c r="I87" s="27" t="e">
        <f t="shared" ca="1" si="4"/>
        <v>#NAME?</v>
      </c>
      <c r="J87" s="27" t="e">
        <f t="shared" ca="1" si="5"/>
        <v>#NAME?</v>
      </c>
      <c r="K87" s="21" t="e">
        <f t="shared" ca="1" si="6"/>
        <v>#NAME?</v>
      </c>
      <c r="L87" s="2">
        <v>2.490562390835215</v>
      </c>
      <c r="M87" s="47" t="e">
        <f t="shared" ca="1" si="15"/>
        <v>#NAME?</v>
      </c>
      <c r="N87" s="47" t="e">
        <f t="shared" ca="1" si="7"/>
        <v>#NAME?</v>
      </c>
      <c r="O87" s="47" t="e">
        <f t="shared" ca="1" si="16"/>
        <v>#NAME?</v>
      </c>
      <c r="P87" s="47" t="e">
        <f t="shared" ca="1" si="17"/>
        <v>#NAME?</v>
      </c>
      <c r="Q87" s="62" t="e">
        <f t="shared" ca="1" si="8"/>
        <v>#NAME?</v>
      </c>
      <c r="R87" s="62" t="e">
        <f t="shared" ca="1" si="9"/>
        <v>#NAME?</v>
      </c>
      <c r="Y87" s="24">
        <f t="shared" si="10"/>
        <v>0.15255932203389833</v>
      </c>
      <c r="Z87" s="25">
        <f t="shared" si="11"/>
        <v>-140.42372881355934</v>
      </c>
    </row>
    <row r="88" spans="2:26" x14ac:dyDescent="0.2">
      <c r="B88" s="25">
        <f t="shared" si="20"/>
        <v>120</v>
      </c>
      <c r="C88" s="24">
        <v>2</v>
      </c>
      <c r="D88" s="2" t="s">
        <v>74</v>
      </c>
      <c r="E88" s="2" t="s">
        <v>17</v>
      </c>
      <c r="F88" s="21">
        <v>1.62</v>
      </c>
      <c r="G88" s="21" t="e">
        <f t="shared" ca="1" si="19"/>
        <v>#NAME?</v>
      </c>
      <c r="H88" s="21">
        <v>10</v>
      </c>
      <c r="I88" s="27" t="e">
        <f t="shared" ca="1" si="4"/>
        <v>#NAME?</v>
      </c>
      <c r="J88" s="27" t="e">
        <f t="shared" ca="1" si="5"/>
        <v>#NAME?</v>
      </c>
      <c r="K88" s="21" t="e">
        <f t="shared" ca="1" si="6"/>
        <v>#NAME?</v>
      </c>
      <c r="L88" s="2">
        <v>2.0563767686477337</v>
      </c>
      <c r="M88" s="47" t="e">
        <f t="shared" ca="1" si="15"/>
        <v>#NAME?</v>
      </c>
      <c r="N88" s="47" t="e">
        <f t="shared" ca="1" si="7"/>
        <v>#NAME?</v>
      </c>
      <c r="O88" s="47" t="e">
        <f t="shared" ca="1" si="16"/>
        <v>#NAME?</v>
      </c>
      <c r="P88" s="47" t="e">
        <f t="shared" ca="1" si="17"/>
        <v>#NAME?</v>
      </c>
      <c r="Q88" s="62" t="e">
        <f t="shared" ca="1" si="8"/>
        <v>#NAME?</v>
      </c>
      <c r="R88" s="62" t="e">
        <f t="shared" ca="1" si="9"/>
        <v>#NAME?</v>
      </c>
      <c r="Y88" s="24">
        <f t="shared" si="10"/>
        <v>0.15255932203389833</v>
      </c>
      <c r="Z88" s="25">
        <f t="shared" si="11"/>
        <v>-130.42372881355934</v>
      </c>
    </row>
    <row r="89" spans="2:26" x14ac:dyDescent="0.2">
      <c r="B89" s="25">
        <f t="shared" si="20"/>
        <v>130</v>
      </c>
      <c r="C89" s="24">
        <v>2</v>
      </c>
      <c r="D89" s="2" t="s">
        <v>74</v>
      </c>
      <c r="E89" s="2" t="s">
        <v>17</v>
      </c>
      <c r="F89" s="21">
        <v>2.13</v>
      </c>
      <c r="G89" s="21" t="e">
        <f t="shared" ca="1" si="19"/>
        <v>#NAME?</v>
      </c>
      <c r="H89" s="21">
        <v>10</v>
      </c>
      <c r="I89" s="27" t="e">
        <f t="shared" ca="1" si="4"/>
        <v>#NAME?</v>
      </c>
      <c r="J89" s="27" t="e">
        <f t="shared" ca="1" si="5"/>
        <v>#NAME?</v>
      </c>
      <c r="K89" s="21" t="e">
        <f t="shared" ca="1" si="6"/>
        <v>#NAME?</v>
      </c>
      <c r="L89" s="2">
        <v>1.7283266071081291</v>
      </c>
      <c r="M89" s="47" t="e">
        <f t="shared" ca="1" si="15"/>
        <v>#NAME?</v>
      </c>
      <c r="N89" s="47" t="e">
        <f t="shared" ca="1" si="7"/>
        <v>#NAME?</v>
      </c>
      <c r="O89" s="47" t="e">
        <f t="shared" ca="1" si="16"/>
        <v>#NAME?</v>
      </c>
      <c r="P89" s="47" t="e">
        <f t="shared" ca="1" si="17"/>
        <v>#NAME?</v>
      </c>
      <c r="Q89" s="62" t="e">
        <f t="shared" ca="1" si="8"/>
        <v>#NAME?</v>
      </c>
      <c r="R89" s="62" t="e">
        <f t="shared" ca="1" si="9"/>
        <v>#NAME?</v>
      </c>
      <c r="Y89" s="24">
        <f t="shared" si="10"/>
        <v>0.15255932203389833</v>
      </c>
      <c r="Z89" s="25">
        <f t="shared" si="11"/>
        <v>-120.42372881355934</v>
      </c>
    </row>
    <row r="90" spans="2:26" x14ac:dyDescent="0.2">
      <c r="B90" s="25">
        <f t="shared" si="20"/>
        <v>140</v>
      </c>
      <c r="C90" s="24">
        <v>2</v>
      </c>
      <c r="D90" s="2" t="s">
        <v>74</v>
      </c>
      <c r="E90" s="2" t="s">
        <v>17</v>
      </c>
      <c r="F90" s="21">
        <v>3.09</v>
      </c>
      <c r="G90" s="21" t="e">
        <f t="shared" ca="1" si="19"/>
        <v>#NAME?</v>
      </c>
      <c r="H90" s="21">
        <v>10</v>
      </c>
      <c r="I90" s="27" t="e">
        <f t="shared" ca="1" si="4"/>
        <v>#NAME?</v>
      </c>
      <c r="J90" s="27" t="e">
        <f t="shared" ca="1" si="5"/>
        <v>#NAME?</v>
      </c>
      <c r="K90" s="21" t="e">
        <f t="shared" ca="1" si="6"/>
        <v>#NAME?</v>
      </c>
      <c r="L90" s="2">
        <v>1.4818036551338858</v>
      </c>
      <c r="M90" s="47" t="e">
        <f t="shared" ca="1" si="15"/>
        <v>#NAME?</v>
      </c>
      <c r="N90" s="47" t="e">
        <f t="shared" ca="1" si="7"/>
        <v>#NAME?</v>
      </c>
      <c r="O90" s="47" t="e">
        <f t="shared" ca="1" si="16"/>
        <v>#NAME?</v>
      </c>
      <c r="P90" s="47" t="e">
        <f t="shared" ca="1" si="17"/>
        <v>#NAME?</v>
      </c>
      <c r="Q90" s="62" t="e">
        <f t="shared" ca="1" si="8"/>
        <v>#NAME?</v>
      </c>
      <c r="R90" s="62" t="e">
        <f t="shared" ca="1" si="9"/>
        <v>#NAME?</v>
      </c>
      <c r="Y90" s="24">
        <f t="shared" si="10"/>
        <v>0.15255932203389833</v>
      </c>
      <c r="Z90" s="25">
        <f t="shared" si="11"/>
        <v>-110.42372881355934</v>
      </c>
    </row>
    <row r="91" spans="2:26" x14ac:dyDescent="0.2">
      <c r="B91" s="25">
        <f t="shared" si="20"/>
        <v>150</v>
      </c>
      <c r="C91" s="24">
        <v>2</v>
      </c>
      <c r="D91" s="2" t="s">
        <v>74</v>
      </c>
      <c r="E91" s="2" t="s">
        <v>17</v>
      </c>
      <c r="F91" s="21">
        <v>3.72</v>
      </c>
      <c r="G91" s="21" t="e">
        <f t="shared" ca="1" si="19"/>
        <v>#NAME?</v>
      </c>
      <c r="H91" s="21">
        <v>10</v>
      </c>
      <c r="I91" s="27" t="e">
        <f t="shared" ca="1" si="4"/>
        <v>#NAME?</v>
      </c>
      <c r="J91" s="27" t="e">
        <f t="shared" ca="1" si="5"/>
        <v>#NAME?</v>
      </c>
      <c r="K91" s="21" t="e">
        <f t="shared" ca="1" si="6"/>
        <v>#NAME?</v>
      </c>
      <c r="L91" s="2">
        <v>1.2990881919220736</v>
      </c>
      <c r="M91" s="47" t="e">
        <f t="shared" ref="M91:M122" ca="1" si="21">G$15*(1+1/$G$16+(C91-$G$18)^2/Y$24+(B91-$G$19)^2/Z$24)</f>
        <v>#NAME?</v>
      </c>
      <c r="N91" s="47" t="e">
        <f t="shared" ca="1" si="7"/>
        <v>#NAME?</v>
      </c>
      <c r="O91" s="47" t="e">
        <f t="shared" ref="O91:O122" ca="1" si="22">IF(D$22="yes",EXP(LN(G91)-G$22*N91),G91-G$22*N91)</f>
        <v>#NAME?</v>
      </c>
      <c r="P91" s="47" t="e">
        <f t="shared" ref="P91:P122" ca="1" si="23">IF(D$22="yes",EXP(LN(G91)+G$22*N91),G91-G$22*N91)</f>
        <v>#NAME?</v>
      </c>
      <c r="Q91" s="62" t="e">
        <f t="shared" ca="1" si="8"/>
        <v>#NAME?</v>
      </c>
      <c r="R91" s="62" t="e">
        <f t="shared" ca="1" si="9"/>
        <v>#NAME?</v>
      </c>
      <c r="Y91" s="24">
        <f t="shared" si="10"/>
        <v>0.15255932203389833</v>
      </c>
      <c r="Z91" s="25">
        <f t="shared" si="11"/>
        <v>-100.42372881355934</v>
      </c>
    </row>
    <row r="92" spans="2:26" x14ac:dyDescent="0.2">
      <c r="B92" s="25">
        <f t="shared" si="20"/>
        <v>160</v>
      </c>
      <c r="C92" s="24">
        <v>2</v>
      </c>
      <c r="D92" s="2" t="s">
        <v>74</v>
      </c>
      <c r="E92" s="2" t="s">
        <v>17</v>
      </c>
      <c r="F92" s="21">
        <v>4.7</v>
      </c>
      <c r="G92" s="21" t="e">
        <f t="shared" ca="1" si="19"/>
        <v>#NAME?</v>
      </c>
      <c r="H92" s="21">
        <v>10</v>
      </c>
      <c r="I92" s="27" t="e">
        <f t="shared" ref="I92:I146" ca="1" si="24">IF(D$22="yes",(LN(F92)-LN(G92)),(F92-G92))</f>
        <v>#NAME?</v>
      </c>
      <c r="J92" s="27" t="e">
        <f t="shared" ref="J92:J146" ca="1" si="25">I92/H92</f>
        <v>#NAME?</v>
      </c>
      <c r="K92" s="21" t="e">
        <f t="shared" ref="K92:K146" ca="1" si="26">IF(D$22="yes",LN(G92),G92)</f>
        <v>#NAME?</v>
      </c>
      <c r="L92" s="2">
        <v>1.1669239434218206</v>
      </c>
      <c r="M92" s="47" t="e">
        <f t="shared" ca="1" si="21"/>
        <v>#NAME?</v>
      </c>
      <c r="N92" s="47" t="e">
        <f t="shared" ref="N92:N144" ca="1" si="27">SQRT(L92)+SQRT(M92)</f>
        <v>#NAME?</v>
      </c>
      <c r="O92" s="47" t="e">
        <f t="shared" ca="1" si="22"/>
        <v>#NAME?</v>
      </c>
      <c r="P92" s="47" t="e">
        <f t="shared" ca="1" si="23"/>
        <v>#NAME?</v>
      </c>
      <c r="Q92" s="62" t="e">
        <f t="shared" ref="Q92:Q146" ca="1" si="28">P92-G92</f>
        <v>#NAME?</v>
      </c>
      <c r="R92" s="62" t="e">
        <f t="shared" ref="R92:R146" ca="1" si="29">G92-O92</f>
        <v>#NAME?</v>
      </c>
      <c r="Y92" s="24">
        <f t="shared" ref="Y92:Y144" si="30">C92-$G$18</f>
        <v>0.15255932203389833</v>
      </c>
      <c r="Z92" s="25">
        <f t="shared" ref="Z92:Z144" si="31">B92-$G$19</f>
        <v>-90.423728813559336</v>
      </c>
    </row>
    <row r="93" spans="2:26" x14ac:dyDescent="0.2">
      <c r="B93" s="25">
        <f t="shared" si="20"/>
        <v>170</v>
      </c>
      <c r="C93" s="24">
        <v>2</v>
      </c>
      <c r="D93" s="2" t="s">
        <v>74</v>
      </c>
      <c r="E93" s="2" t="s">
        <v>17</v>
      </c>
      <c r="F93" s="21">
        <v>4.88</v>
      </c>
      <c r="G93" s="21" t="e">
        <f t="shared" ca="1" si="19"/>
        <v>#NAME?</v>
      </c>
      <c r="H93" s="21">
        <v>10</v>
      </c>
      <c r="I93" s="27" t="e">
        <f t="shared" ca="1" si="24"/>
        <v>#NAME?</v>
      </c>
      <c r="J93" s="27" t="e">
        <f t="shared" ca="1" si="25"/>
        <v>#NAME?</v>
      </c>
      <c r="K93" s="21" t="e">
        <f t="shared" ca="1" si="26"/>
        <v>#NAME?</v>
      </c>
      <c r="L93" s="2">
        <v>1.0752597126340515</v>
      </c>
      <c r="M93" s="47" t="e">
        <f t="shared" ca="1" si="21"/>
        <v>#NAME?</v>
      </c>
      <c r="N93" s="47" t="e">
        <f t="shared" ca="1" si="27"/>
        <v>#NAME?</v>
      </c>
      <c r="O93" s="47" t="e">
        <f t="shared" ca="1" si="22"/>
        <v>#NAME?</v>
      </c>
      <c r="P93" s="47" t="e">
        <f t="shared" ca="1" si="23"/>
        <v>#NAME?</v>
      </c>
      <c r="Q93" s="62" t="e">
        <f t="shared" ca="1" si="28"/>
        <v>#NAME?</v>
      </c>
      <c r="R93" s="62" t="e">
        <f t="shared" ca="1" si="29"/>
        <v>#NAME?</v>
      </c>
      <c r="Y93" s="24">
        <f t="shared" si="30"/>
        <v>0.15255932203389833</v>
      </c>
      <c r="Z93" s="25">
        <f t="shared" si="31"/>
        <v>-80.423728813559336</v>
      </c>
    </row>
    <row r="94" spans="2:26" x14ac:dyDescent="0.2">
      <c r="B94" s="25">
        <f t="shared" si="20"/>
        <v>180</v>
      </c>
      <c r="C94" s="24">
        <v>2</v>
      </c>
      <c r="D94" s="2" t="s">
        <v>74</v>
      </c>
      <c r="E94" s="2" t="s">
        <v>17</v>
      </c>
      <c r="F94" s="21">
        <v>5.61</v>
      </c>
      <c r="G94" s="21" t="e">
        <f t="shared" ca="1" si="19"/>
        <v>#NAME?</v>
      </c>
      <c r="H94" s="21">
        <v>10</v>
      </c>
      <c r="I94" s="27" t="e">
        <f t="shared" ca="1" si="24"/>
        <v>#NAME?</v>
      </c>
      <c r="J94" s="27" t="e">
        <f t="shared" ca="1" si="25"/>
        <v>#NAME?</v>
      </c>
      <c r="K94" s="21" t="e">
        <f t="shared" ca="1" si="26"/>
        <v>#NAME?</v>
      </c>
      <c r="L94" s="2">
        <v>1.0164393682484203</v>
      </c>
      <c r="M94" s="47" t="e">
        <f t="shared" ca="1" si="21"/>
        <v>#NAME?</v>
      </c>
      <c r="N94" s="47" t="e">
        <f t="shared" ca="1" si="27"/>
        <v>#NAME?</v>
      </c>
      <c r="O94" s="47" t="e">
        <f t="shared" ca="1" si="22"/>
        <v>#NAME?</v>
      </c>
      <c r="P94" s="47" t="e">
        <f t="shared" ca="1" si="23"/>
        <v>#NAME?</v>
      </c>
      <c r="Q94" s="62" t="e">
        <f t="shared" ca="1" si="28"/>
        <v>#NAME?</v>
      </c>
      <c r="R94" s="62" t="e">
        <f t="shared" ca="1" si="29"/>
        <v>#NAME?</v>
      </c>
      <c r="Y94" s="24">
        <f t="shared" si="30"/>
        <v>0.15255932203389833</v>
      </c>
      <c r="Z94" s="25">
        <f t="shared" si="31"/>
        <v>-70.423728813559336</v>
      </c>
    </row>
    <row r="95" spans="2:26" x14ac:dyDescent="0.2">
      <c r="B95" s="25">
        <f t="shared" si="20"/>
        <v>190</v>
      </c>
      <c r="C95" s="24">
        <v>2</v>
      </c>
      <c r="D95" s="2" t="s">
        <v>74</v>
      </c>
      <c r="E95" s="2" t="s">
        <v>17</v>
      </c>
      <c r="F95" s="21">
        <v>5.49</v>
      </c>
      <c r="G95" s="21" t="e">
        <f t="shared" ca="1" si="19"/>
        <v>#NAME?</v>
      </c>
      <c r="H95" s="21">
        <v>10</v>
      </c>
      <c r="I95" s="27" t="e">
        <f t="shared" ca="1" si="24"/>
        <v>#NAME?</v>
      </c>
      <c r="J95" s="27" t="e">
        <f t="shared" ca="1" si="25"/>
        <v>#NAME?</v>
      </c>
      <c r="K95" s="21" t="e">
        <f t="shared" ca="1" si="26"/>
        <v>#NAME?</v>
      </c>
      <c r="L95" s="2">
        <v>0.98461287374089979</v>
      </c>
      <c r="M95" s="47" t="e">
        <f t="shared" ca="1" si="21"/>
        <v>#NAME?</v>
      </c>
      <c r="N95" s="47" t="e">
        <f t="shared" ca="1" si="27"/>
        <v>#NAME?</v>
      </c>
      <c r="O95" s="47" t="e">
        <f t="shared" ca="1" si="22"/>
        <v>#NAME?</v>
      </c>
      <c r="P95" s="47" t="e">
        <f t="shared" ca="1" si="23"/>
        <v>#NAME?</v>
      </c>
      <c r="Q95" s="62" t="e">
        <f t="shared" ca="1" si="28"/>
        <v>#NAME?</v>
      </c>
      <c r="R95" s="62" t="e">
        <f t="shared" ca="1" si="29"/>
        <v>#NAME?</v>
      </c>
      <c r="Y95" s="24">
        <f t="shared" si="30"/>
        <v>0.15255932203389833</v>
      </c>
      <c r="Z95" s="25">
        <f t="shared" si="31"/>
        <v>-60.423728813559336</v>
      </c>
    </row>
    <row r="96" spans="2:26" x14ac:dyDescent="0.2">
      <c r="B96" s="25">
        <f t="shared" si="20"/>
        <v>200</v>
      </c>
      <c r="C96" s="24">
        <v>2</v>
      </c>
      <c r="D96" s="2" t="s">
        <v>74</v>
      </c>
      <c r="E96" s="2" t="s">
        <v>17</v>
      </c>
      <c r="F96" s="21">
        <v>4.9400000000000004</v>
      </c>
      <c r="G96" s="21" t="e">
        <f t="shared" ca="1" si="19"/>
        <v>#NAME?</v>
      </c>
      <c r="H96" s="21">
        <v>10</v>
      </c>
      <c r="I96" s="27" t="e">
        <f t="shared" ca="1" si="24"/>
        <v>#NAME?</v>
      </c>
      <c r="J96" s="27" t="e">
        <f t="shared" ca="1" si="25"/>
        <v>#NAME?</v>
      </c>
      <c r="K96" s="21" t="e">
        <f t="shared" ca="1" si="26"/>
        <v>#NAME?</v>
      </c>
      <c r="L96" s="2">
        <v>0.97527620176940999</v>
      </c>
      <c r="M96" s="47" t="e">
        <f t="shared" ca="1" si="21"/>
        <v>#NAME?</v>
      </c>
      <c r="N96" s="47" t="e">
        <f t="shared" ca="1" si="27"/>
        <v>#NAME?</v>
      </c>
      <c r="O96" s="47" t="e">
        <f t="shared" ca="1" si="22"/>
        <v>#NAME?</v>
      </c>
      <c r="P96" s="47" t="e">
        <f t="shared" ca="1" si="23"/>
        <v>#NAME?</v>
      </c>
      <c r="Q96" s="62" t="e">
        <f t="shared" ca="1" si="28"/>
        <v>#NAME?</v>
      </c>
      <c r="R96" s="62" t="e">
        <f t="shared" ca="1" si="29"/>
        <v>#NAME?</v>
      </c>
      <c r="Y96" s="24">
        <f t="shared" si="30"/>
        <v>0.15255932203389833</v>
      </c>
      <c r="Z96" s="25">
        <f t="shared" si="31"/>
        <v>-50.423728813559336</v>
      </c>
    </row>
    <row r="97" spans="2:26" x14ac:dyDescent="0.2">
      <c r="B97" s="25">
        <f t="shared" si="20"/>
        <v>210</v>
      </c>
      <c r="C97" s="24">
        <v>2</v>
      </c>
      <c r="D97" s="2" t="s">
        <v>74</v>
      </c>
      <c r="E97" s="2" t="s">
        <v>17</v>
      </c>
      <c r="F97" s="21">
        <v>4.37</v>
      </c>
      <c r="G97" s="21" t="e">
        <f t="shared" ca="1" si="19"/>
        <v>#NAME?</v>
      </c>
      <c r="H97" s="21">
        <v>10</v>
      </c>
      <c r="I97" s="27" t="e">
        <f t="shared" ca="1" si="24"/>
        <v>#NAME?</v>
      </c>
      <c r="J97" s="27" t="e">
        <f t="shared" ca="1" si="25"/>
        <v>#NAME?</v>
      </c>
      <c r="K97" s="21" t="e">
        <f t="shared" ca="1" si="26"/>
        <v>#NAME?</v>
      </c>
      <c r="L97" s="2">
        <v>0.98496136303867365</v>
      </c>
      <c r="M97" s="47" t="e">
        <f t="shared" ca="1" si="21"/>
        <v>#NAME?</v>
      </c>
      <c r="N97" s="47" t="e">
        <f t="shared" ca="1" si="27"/>
        <v>#NAME?</v>
      </c>
      <c r="O97" s="47" t="e">
        <f t="shared" ca="1" si="22"/>
        <v>#NAME?</v>
      </c>
      <c r="P97" s="47" t="e">
        <f t="shared" ca="1" si="23"/>
        <v>#NAME?</v>
      </c>
      <c r="Q97" s="62" t="e">
        <f t="shared" ca="1" si="28"/>
        <v>#NAME?</v>
      </c>
      <c r="R97" s="62" t="e">
        <f t="shared" ca="1" si="29"/>
        <v>#NAME?</v>
      </c>
      <c r="Y97" s="24">
        <f t="shared" si="30"/>
        <v>0.15255932203389833</v>
      </c>
      <c r="Z97" s="25">
        <f t="shared" si="31"/>
        <v>-40.423728813559336</v>
      </c>
    </row>
    <row r="98" spans="2:26" x14ac:dyDescent="0.2">
      <c r="B98" s="25">
        <f t="shared" si="20"/>
        <v>220</v>
      </c>
      <c r="C98" s="24">
        <v>2</v>
      </c>
      <c r="D98" s="2" t="s">
        <v>74</v>
      </c>
      <c r="E98" s="2" t="s">
        <v>17</v>
      </c>
      <c r="F98" s="21">
        <v>4.12</v>
      </c>
      <c r="G98" s="21" t="e">
        <f t="shared" ca="1" si="19"/>
        <v>#NAME?</v>
      </c>
      <c r="H98" s="21">
        <v>10</v>
      </c>
      <c r="I98" s="27" t="e">
        <f t="shared" ca="1" si="24"/>
        <v>#NAME?</v>
      </c>
      <c r="J98" s="27" t="e">
        <f t="shared" ca="1" si="25"/>
        <v>#NAME?</v>
      </c>
      <c r="K98" s="21" t="e">
        <f t="shared" ca="1" si="26"/>
        <v>#NAME?</v>
      </c>
      <c r="L98" s="2">
        <v>1.0109643908822241</v>
      </c>
      <c r="M98" s="47" t="e">
        <f t="shared" ca="1" si="21"/>
        <v>#NAME?</v>
      </c>
      <c r="N98" s="47" t="e">
        <f t="shared" ca="1" si="27"/>
        <v>#NAME?</v>
      </c>
      <c r="O98" s="47" t="e">
        <f t="shared" ca="1" si="22"/>
        <v>#NAME?</v>
      </c>
      <c r="P98" s="47" t="e">
        <f t="shared" ca="1" si="23"/>
        <v>#NAME?</v>
      </c>
      <c r="Q98" s="62" t="e">
        <f t="shared" ca="1" si="28"/>
        <v>#NAME?</v>
      </c>
      <c r="R98" s="62" t="e">
        <f t="shared" ca="1" si="29"/>
        <v>#NAME?</v>
      </c>
      <c r="Y98" s="24">
        <f t="shared" si="30"/>
        <v>0.15255932203389833</v>
      </c>
      <c r="Z98" s="25">
        <f t="shared" si="31"/>
        <v>-30.423728813559336</v>
      </c>
    </row>
    <row r="99" spans="2:26" x14ac:dyDescent="0.2">
      <c r="B99" s="25">
        <f t="shared" si="20"/>
        <v>230</v>
      </c>
      <c r="C99" s="24">
        <v>2</v>
      </c>
      <c r="D99" s="2" t="s">
        <v>74</v>
      </c>
      <c r="E99" s="2" t="s">
        <v>17</v>
      </c>
      <c r="F99" s="21">
        <v>3.79</v>
      </c>
      <c r="G99" s="21" t="e">
        <f t="shared" ca="1" si="19"/>
        <v>#NAME?</v>
      </c>
      <c r="H99" s="21">
        <v>10</v>
      </c>
      <c r="I99" s="27" t="e">
        <f t="shared" ca="1" si="24"/>
        <v>#NAME?</v>
      </c>
      <c r="J99" s="27" t="e">
        <f t="shared" ca="1" si="25"/>
        <v>#NAME?</v>
      </c>
      <c r="K99" s="21" t="e">
        <f t="shared" ca="1" si="26"/>
        <v>#NAME?</v>
      </c>
      <c r="L99" s="2">
        <v>1.0511788115544933</v>
      </c>
      <c r="M99" s="47" t="e">
        <f t="shared" ca="1" si="21"/>
        <v>#NAME?</v>
      </c>
      <c r="N99" s="47" t="e">
        <f t="shared" ca="1" si="27"/>
        <v>#NAME?</v>
      </c>
      <c r="O99" s="47" t="e">
        <f t="shared" ca="1" si="22"/>
        <v>#NAME?</v>
      </c>
      <c r="P99" s="47" t="e">
        <f t="shared" ca="1" si="23"/>
        <v>#NAME?</v>
      </c>
      <c r="Q99" s="62" t="e">
        <f t="shared" ca="1" si="28"/>
        <v>#NAME?</v>
      </c>
      <c r="R99" s="62" t="e">
        <f t="shared" ca="1" si="29"/>
        <v>#NAME?</v>
      </c>
      <c r="Y99" s="24">
        <f t="shared" si="30"/>
        <v>0.15255932203389833</v>
      </c>
      <c r="Z99" s="25">
        <f t="shared" si="31"/>
        <v>-20.423728813559336</v>
      </c>
    </row>
    <row r="100" spans="2:26" x14ac:dyDescent="0.2">
      <c r="B100" s="25">
        <f t="shared" si="20"/>
        <v>240</v>
      </c>
      <c r="C100" s="24">
        <v>2</v>
      </c>
      <c r="D100" s="2" t="s">
        <v>74</v>
      </c>
      <c r="E100" s="2" t="s">
        <v>17</v>
      </c>
      <c r="F100" s="21">
        <v>3.2</v>
      </c>
      <c r="G100" s="21" t="e">
        <f t="shared" ca="1" si="19"/>
        <v>#NAME?</v>
      </c>
      <c r="H100" s="21">
        <v>10</v>
      </c>
      <c r="I100" s="27" t="e">
        <f t="shared" ca="1" si="24"/>
        <v>#NAME?</v>
      </c>
      <c r="J100" s="27" t="e">
        <f t="shared" ca="1" si="25"/>
        <v>#NAME?</v>
      </c>
      <c r="K100" s="21" t="e">
        <f t="shared" ca="1" si="26"/>
        <v>#NAME?</v>
      </c>
      <c r="L100" s="2">
        <v>1.1039376040749413</v>
      </c>
      <c r="M100" s="47" t="e">
        <f t="shared" ca="1" si="21"/>
        <v>#NAME?</v>
      </c>
      <c r="N100" s="47" t="e">
        <f t="shared" ca="1" si="27"/>
        <v>#NAME?</v>
      </c>
      <c r="O100" s="47" t="e">
        <f t="shared" ca="1" si="22"/>
        <v>#NAME?</v>
      </c>
      <c r="P100" s="47" t="e">
        <f t="shared" ca="1" si="23"/>
        <v>#NAME?</v>
      </c>
      <c r="Q100" s="62" t="e">
        <f t="shared" ca="1" si="28"/>
        <v>#NAME?</v>
      </c>
      <c r="R100" s="62" t="e">
        <f t="shared" ca="1" si="29"/>
        <v>#NAME?</v>
      </c>
      <c r="Y100" s="24">
        <f t="shared" si="30"/>
        <v>0.15255932203389833</v>
      </c>
      <c r="Z100" s="25">
        <f t="shared" si="31"/>
        <v>-10.423728813559336</v>
      </c>
    </row>
    <row r="101" spans="2:26" x14ac:dyDescent="0.2">
      <c r="B101" s="25">
        <f t="shared" si="20"/>
        <v>250</v>
      </c>
      <c r="C101" s="24">
        <v>2</v>
      </c>
      <c r="D101" s="2" t="s">
        <v>74</v>
      </c>
      <c r="E101" s="2" t="s">
        <v>17</v>
      </c>
      <c r="F101" s="21">
        <v>2.83</v>
      </c>
      <c r="G101" s="21" t="e">
        <f t="shared" ca="1" si="19"/>
        <v>#NAME?</v>
      </c>
      <c r="H101" s="21">
        <v>10</v>
      </c>
      <c r="I101" s="27" t="e">
        <f t="shared" ca="1" si="24"/>
        <v>#NAME?</v>
      </c>
      <c r="J101" s="27" t="e">
        <f t="shared" ca="1" si="25"/>
        <v>#NAME?</v>
      </c>
      <c r="K101" s="21" t="e">
        <f t="shared" ca="1" si="26"/>
        <v>#NAME?</v>
      </c>
      <c r="L101" s="2">
        <v>1.1679207731023262</v>
      </c>
      <c r="M101" s="47" t="e">
        <f t="shared" ca="1" si="21"/>
        <v>#NAME?</v>
      </c>
      <c r="N101" s="47" t="e">
        <f t="shared" ca="1" si="27"/>
        <v>#NAME?</v>
      </c>
      <c r="O101" s="47" t="e">
        <f t="shared" ca="1" si="22"/>
        <v>#NAME?</v>
      </c>
      <c r="P101" s="47" t="e">
        <f t="shared" ca="1" si="23"/>
        <v>#NAME?</v>
      </c>
      <c r="Q101" s="62" t="e">
        <f t="shared" ca="1" si="28"/>
        <v>#NAME?</v>
      </c>
      <c r="R101" s="62" t="e">
        <f t="shared" ca="1" si="29"/>
        <v>#NAME?</v>
      </c>
      <c r="Y101" s="24">
        <f t="shared" si="30"/>
        <v>0.15255932203389833</v>
      </c>
      <c r="Z101" s="25">
        <f t="shared" si="31"/>
        <v>-0.423728813559336</v>
      </c>
    </row>
    <row r="102" spans="2:26" x14ac:dyDescent="0.2">
      <c r="B102" s="25">
        <f t="shared" si="20"/>
        <v>260</v>
      </c>
      <c r="C102" s="24">
        <v>2</v>
      </c>
      <c r="D102" s="2" t="s">
        <v>74</v>
      </c>
      <c r="E102" s="2" t="s">
        <v>17</v>
      </c>
      <c r="F102" s="21">
        <v>2.4900000000000002</v>
      </c>
      <c r="G102" s="21" t="e">
        <f t="shared" ca="1" si="19"/>
        <v>#NAME?</v>
      </c>
      <c r="H102" s="21">
        <v>10</v>
      </c>
      <c r="I102" s="27" t="e">
        <f t="shared" ca="1" si="24"/>
        <v>#NAME?</v>
      </c>
      <c r="J102" s="27" t="e">
        <f t="shared" ca="1" si="25"/>
        <v>#NAME?</v>
      </c>
      <c r="K102" s="21" t="e">
        <f t="shared" ca="1" si="26"/>
        <v>#NAME?</v>
      </c>
      <c r="L102" s="2">
        <v>1.2420674048303117</v>
      </c>
      <c r="M102" s="47" t="e">
        <f t="shared" ca="1" si="21"/>
        <v>#NAME?</v>
      </c>
      <c r="N102" s="47" t="e">
        <f t="shared" ca="1" si="27"/>
        <v>#NAME?</v>
      </c>
      <c r="O102" s="47" t="e">
        <f t="shared" ca="1" si="22"/>
        <v>#NAME?</v>
      </c>
      <c r="P102" s="47" t="e">
        <f t="shared" ca="1" si="23"/>
        <v>#NAME?</v>
      </c>
      <c r="Q102" s="62" t="e">
        <f t="shared" ca="1" si="28"/>
        <v>#NAME?</v>
      </c>
      <c r="R102" s="62" t="e">
        <f t="shared" ca="1" si="29"/>
        <v>#NAME?</v>
      </c>
      <c r="Y102" s="24">
        <f t="shared" si="30"/>
        <v>0.15255932203389833</v>
      </c>
      <c r="Z102" s="25">
        <f t="shared" si="31"/>
        <v>9.576271186440664</v>
      </c>
    </row>
    <row r="103" spans="2:26" x14ac:dyDescent="0.2">
      <c r="B103" s="25">
        <f t="shared" si="20"/>
        <v>270</v>
      </c>
      <c r="C103" s="24">
        <v>2</v>
      </c>
      <c r="D103" s="2" t="s">
        <v>74</v>
      </c>
      <c r="E103" s="2" t="s">
        <v>17</v>
      </c>
      <c r="F103" s="21">
        <v>2.16</v>
      </c>
      <c r="G103" s="21" t="e">
        <f t="shared" ca="1" si="19"/>
        <v>#NAME?</v>
      </c>
      <c r="H103" s="21">
        <v>10</v>
      </c>
      <c r="I103" s="27" t="e">
        <f t="shared" ca="1" si="24"/>
        <v>#NAME?</v>
      </c>
      <c r="J103" s="27" t="e">
        <f t="shared" ca="1" si="25"/>
        <v>#NAME?</v>
      </c>
      <c r="K103" s="21" t="e">
        <f t="shared" ca="1" si="26"/>
        <v>#NAME?</v>
      </c>
      <c r="L103" s="2">
        <v>1.3255268541030298</v>
      </c>
      <c r="M103" s="47" t="e">
        <f t="shared" ca="1" si="21"/>
        <v>#NAME?</v>
      </c>
      <c r="N103" s="47" t="e">
        <f t="shared" ca="1" si="27"/>
        <v>#NAME?</v>
      </c>
      <c r="O103" s="47" t="e">
        <f t="shared" ca="1" si="22"/>
        <v>#NAME?</v>
      </c>
      <c r="P103" s="47" t="e">
        <f t="shared" ca="1" si="23"/>
        <v>#NAME?</v>
      </c>
      <c r="Q103" s="62" t="e">
        <f t="shared" ca="1" si="28"/>
        <v>#NAME?</v>
      </c>
      <c r="R103" s="62" t="e">
        <f t="shared" ca="1" si="29"/>
        <v>#NAME?</v>
      </c>
      <c r="Y103" s="24">
        <f t="shared" si="30"/>
        <v>0.15255932203389833</v>
      </c>
      <c r="Z103" s="25">
        <f t="shared" si="31"/>
        <v>19.576271186440664</v>
      </c>
    </row>
    <row r="104" spans="2:26" x14ac:dyDescent="0.2">
      <c r="B104" s="25">
        <f t="shared" si="20"/>
        <v>280</v>
      </c>
      <c r="C104" s="24">
        <v>2</v>
      </c>
      <c r="D104" s="2" t="s">
        <v>74</v>
      </c>
      <c r="E104" s="2" t="s">
        <v>17</v>
      </c>
      <c r="F104" s="21">
        <v>1.84</v>
      </c>
      <c r="G104" s="21" t="e">
        <f t="shared" ca="1" si="19"/>
        <v>#NAME?</v>
      </c>
      <c r="H104" s="21">
        <v>10</v>
      </c>
      <c r="I104" s="27" t="e">
        <f t="shared" ca="1" si="24"/>
        <v>#NAME?</v>
      </c>
      <c r="J104" s="27" t="e">
        <f t="shared" ca="1" si="25"/>
        <v>#NAME?</v>
      </c>
      <c r="K104" s="21" t="e">
        <f t="shared" ca="1" si="26"/>
        <v>#NAME?</v>
      </c>
      <c r="L104" s="2">
        <v>1.4176117953130869</v>
      </c>
      <c r="M104" s="47" t="e">
        <f t="shared" ca="1" si="21"/>
        <v>#NAME?</v>
      </c>
      <c r="N104" s="47" t="e">
        <f t="shared" ca="1" si="27"/>
        <v>#NAME?</v>
      </c>
      <c r="O104" s="47" t="e">
        <f t="shared" ca="1" si="22"/>
        <v>#NAME?</v>
      </c>
      <c r="P104" s="47" t="e">
        <f t="shared" ca="1" si="23"/>
        <v>#NAME?</v>
      </c>
      <c r="Q104" s="62" t="e">
        <f t="shared" ca="1" si="28"/>
        <v>#NAME?</v>
      </c>
      <c r="R104" s="62" t="e">
        <f t="shared" ca="1" si="29"/>
        <v>#NAME?</v>
      </c>
      <c r="Y104" s="24">
        <f t="shared" si="30"/>
        <v>0.15255932203389833</v>
      </c>
      <c r="Z104" s="25">
        <f t="shared" si="31"/>
        <v>29.576271186440664</v>
      </c>
    </row>
    <row r="105" spans="2:26" x14ac:dyDescent="0.2">
      <c r="B105" s="25">
        <f t="shared" si="20"/>
        <v>290</v>
      </c>
      <c r="C105" s="24">
        <v>2</v>
      </c>
      <c r="D105" s="2" t="s">
        <v>74</v>
      </c>
      <c r="E105" s="2" t="s">
        <v>17</v>
      </c>
      <c r="F105" s="21">
        <v>1.45</v>
      </c>
      <c r="G105" s="21" t="e">
        <f t="shared" ca="1" si="19"/>
        <v>#NAME?</v>
      </c>
      <c r="H105" s="21">
        <v>10</v>
      </c>
      <c r="I105" s="27" t="e">
        <f t="shared" ca="1" si="24"/>
        <v>#NAME?</v>
      </c>
      <c r="J105" s="27" t="e">
        <f t="shared" ca="1" si="25"/>
        <v>#NAME?</v>
      </c>
      <c r="K105" s="21" t="e">
        <f t="shared" ca="1" si="26"/>
        <v>#NAME?</v>
      </c>
      <c r="L105" s="2">
        <v>1.5177626409299454</v>
      </c>
      <c r="M105" s="47" t="e">
        <f t="shared" ca="1" si="21"/>
        <v>#NAME?</v>
      </c>
      <c r="N105" s="47" t="e">
        <f t="shared" ca="1" si="27"/>
        <v>#NAME?</v>
      </c>
      <c r="O105" s="47" t="e">
        <f t="shared" ca="1" si="22"/>
        <v>#NAME?</v>
      </c>
      <c r="P105" s="47" t="e">
        <f t="shared" ca="1" si="23"/>
        <v>#NAME?</v>
      </c>
      <c r="Q105" s="62" t="e">
        <f t="shared" ca="1" si="28"/>
        <v>#NAME?</v>
      </c>
      <c r="R105" s="62" t="e">
        <f t="shared" ca="1" si="29"/>
        <v>#NAME?</v>
      </c>
      <c r="Y105" s="24">
        <f t="shared" si="30"/>
        <v>0.15255932203389833</v>
      </c>
      <c r="Z105" s="25">
        <f t="shared" si="31"/>
        <v>39.576271186440664</v>
      </c>
    </row>
    <row r="106" spans="2:26" x14ac:dyDescent="0.2">
      <c r="B106" s="25">
        <f t="shared" si="20"/>
        <v>300</v>
      </c>
      <c r="C106" s="24">
        <v>2</v>
      </c>
      <c r="D106" s="2" t="s">
        <v>74</v>
      </c>
      <c r="E106" s="2" t="s">
        <v>17</v>
      </c>
      <c r="F106" s="21">
        <v>1.1299999999999999</v>
      </c>
      <c r="G106" s="21" t="e">
        <f t="shared" ca="1" si="19"/>
        <v>#NAME?</v>
      </c>
      <c r="H106" s="21">
        <v>10</v>
      </c>
      <c r="I106" s="27" t="e">
        <f t="shared" ca="1" si="24"/>
        <v>#NAME?</v>
      </c>
      <c r="J106" s="27" t="e">
        <f t="shared" ca="1" si="25"/>
        <v>#NAME?</v>
      </c>
      <c r="K106" s="21" t="e">
        <f t="shared" ca="1" si="26"/>
        <v>#NAME?</v>
      </c>
      <c r="L106" s="2">
        <v>1.6255205525712408</v>
      </c>
      <c r="M106" s="47" t="e">
        <f t="shared" ca="1" si="21"/>
        <v>#NAME?</v>
      </c>
      <c r="N106" s="47" t="e">
        <f t="shared" ca="1" si="27"/>
        <v>#NAME?</v>
      </c>
      <c r="O106" s="47" t="e">
        <f t="shared" ca="1" si="22"/>
        <v>#NAME?</v>
      </c>
      <c r="P106" s="47" t="e">
        <f t="shared" ca="1" si="23"/>
        <v>#NAME?</v>
      </c>
      <c r="Q106" s="62" t="e">
        <f t="shared" ca="1" si="28"/>
        <v>#NAME?</v>
      </c>
      <c r="R106" s="62" t="e">
        <f t="shared" ca="1" si="29"/>
        <v>#NAME?</v>
      </c>
      <c r="Y106" s="24">
        <f t="shared" si="30"/>
        <v>0.15255932203389833</v>
      </c>
      <c r="Z106" s="25">
        <f t="shared" si="31"/>
        <v>49.576271186440664</v>
      </c>
    </row>
    <row r="107" spans="2:26" x14ac:dyDescent="0.2">
      <c r="B107" s="25">
        <f t="shared" si="20"/>
        <v>310</v>
      </c>
      <c r="C107" s="24">
        <v>2</v>
      </c>
      <c r="D107" s="2" t="s">
        <v>74</v>
      </c>
      <c r="E107" s="2" t="s">
        <v>17</v>
      </c>
      <c r="F107" s="21">
        <v>0.84</v>
      </c>
      <c r="G107" s="21" t="e">
        <f t="shared" ca="1" si="19"/>
        <v>#NAME?</v>
      </c>
      <c r="H107" s="21">
        <v>10</v>
      </c>
      <c r="I107" s="27" t="e">
        <f t="shared" ca="1" si="24"/>
        <v>#NAME?</v>
      </c>
      <c r="J107" s="27" t="e">
        <f t="shared" ca="1" si="25"/>
        <v>#NAME?</v>
      </c>
      <c r="K107" s="21" t="e">
        <f t="shared" ca="1" si="26"/>
        <v>#NAME?</v>
      </c>
      <c r="L107" s="2">
        <v>1.740506828943331</v>
      </c>
      <c r="M107" s="47" t="e">
        <f t="shared" ca="1" si="21"/>
        <v>#NAME?</v>
      </c>
      <c r="N107" s="47" t="e">
        <f t="shared" ca="1" si="27"/>
        <v>#NAME?</v>
      </c>
      <c r="O107" s="47" t="e">
        <f t="shared" ca="1" si="22"/>
        <v>#NAME?</v>
      </c>
      <c r="P107" s="47" t="e">
        <f t="shared" ca="1" si="23"/>
        <v>#NAME?</v>
      </c>
      <c r="Q107" s="62" t="e">
        <f t="shared" ca="1" si="28"/>
        <v>#NAME?</v>
      </c>
      <c r="R107" s="62" t="e">
        <f t="shared" ca="1" si="29"/>
        <v>#NAME?</v>
      </c>
      <c r="Y107" s="24">
        <f t="shared" si="30"/>
        <v>0.15255932203389833</v>
      </c>
      <c r="Z107" s="25">
        <f t="shared" si="31"/>
        <v>59.576271186440664</v>
      </c>
    </row>
    <row r="108" spans="2:26" x14ac:dyDescent="0.2">
      <c r="B108" s="25">
        <f t="shared" si="20"/>
        <v>320</v>
      </c>
      <c r="C108" s="24">
        <v>2</v>
      </c>
      <c r="D108" s="2" t="s">
        <v>74</v>
      </c>
      <c r="E108" s="2" t="s">
        <v>17</v>
      </c>
      <c r="F108" s="21">
        <v>0.71</v>
      </c>
      <c r="G108" s="21" t="e">
        <f t="shared" ca="1" si="19"/>
        <v>#NAME?</v>
      </c>
      <c r="H108" s="21">
        <v>10</v>
      </c>
      <c r="I108" s="27" t="e">
        <f t="shared" ca="1" si="24"/>
        <v>#NAME?</v>
      </c>
      <c r="J108" s="27" t="e">
        <f t="shared" ca="1" si="25"/>
        <v>#NAME?</v>
      </c>
      <c r="K108" s="21" t="e">
        <f t="shared" ca="1" si="26"/>
        <v>#NAME?</v>
      </c>
      <c r="L108" s="2">
        <v>1.862407022041739</v>
      </c>
      <c r="M108" s="47" t="e">
        <f t="shared" ca="1" si="21"/>
        <v>#NAME?</v>
      </c>
      <c r="N108" s="47" t="e">
        <f t="shared" ca="1" si="27"/>
        <v>#NAME?</v>
      </c>
      <c r="O108" s="47" t="e">
        <f t="shared" ca="1" si="22"/>
        <v>#NAME?</v>
      </c>
      <c r="P108" s="47" t="e">
        <f t="shared" ca="1" si="23"/>
        <v>#NAME?</v>
      </c>
      <c r="Q108" s="62" t="e">
        <f t="shared" ca="1" si="28"/>
        <v>#NAME?</v>
      </c>
      <c r="R108" s="62" t="e">
        <f t="shared" ca="1" si="29"/>
        <v>#NAME?</v>
      </c>
      <c r="Y108" s="24">
        <f t="shared" si="30"/>
        <v>0.15255932203389833</v>
      </c>
      <c r="Z108" s="25">
        <f t="shared" si="31"/>
        <v>69.576271186440664</v>
      </c>
    </row>
    <row r="109" spans="2:26" x14ac:dyDescent="0.2">
      <c r="B109" s="25">
        <f t="shared" si="20"/>
        <v>330</v>
      </c>
      <c r="C109" s="24">
        <v>2</v>
      </c>
      <c r="D109" s="2" t="s">
        <v>74</v>
      </c>
      <c r="E109" s="2" t="s">
        <v>17</v>
      </c>
      <c r="F109" s="21">
        <v>0.59</v>
      </c>
      <c r="G109" s="21" t="e">
        <f t="shared" ref="G109:G144" ca="1" si="32">MAX(D$23,cde(C109,B109,C$20,C$12,C$13,C$14,C$15,C$17,E109,C$18,C$19))</f>
        <v>#NAME?</v>
      </c>
      <c r="H109" s="21">
        <v>10</v>
      </c>
      <c r="I109" s="27" t="e">
        <f t="shared" ca="1" si="24"/>
        <v>#NAME?</v>
      </c>
      <c r="J109" s="27" t="e">
        <f t="shared" ca="1" si="25"/>
        <v>#NAME?</v>
      </c>
      <c r="K109" s="21" t="e">
        <f t="shared" ca="1" si="26"/>
        <v>#NAME?</v>
      </c>
      <c r="L109" s="2">
        <v>1.9909585830129524</v>
      </c>
      <c r="M109" s="47" t="e">
        <f t="shared" ca="1" si="21"/>
        <v>#NAME?</v>
      </c>
      <c r="N109" s="47" t="e">
        <f t="shared" ca="1" si="27"/>
        <v>#NAME?</v>
      </c>
      <c r="O109" s="47" t="e">
        <f t="shared" ca="1" si="22"/>
        <v>#NAME?</v>
      </c>
      <c r="P109" s="47" t="e">
        <f t="shared" ca="1" si="23"/>
        <v>#NAME?</v>
      </c>
      <c r="Q109" s="62" t="e">
        <f t="shared" ca="1" si="28"/>
        <v>#NAME?</v>
      </c>
      <c r="R109" s="62" t="e">
        <f t="shared" ca="1" si="29"/>
        <v>#NAME?</v>
      </c>
      <c r="Y109" s="24">
        <f t="shared" si="30"/>
        <v>0.15255932203389833</v>
      </c>
      <c r="Z109" s="25">
        <f t="shared" si="31"/>
        <v>79.576271186440664</v>
      </c>
    </row>
    <row r="110" spans="2:26" x14ac:dyDescent="0.2">
      <c r="B110" s="25">
        <f t="shared" si="20"/>
        <v>340</v>
      </c>
      <c r="C110" s="24">
        <v>2</v>
      </c>
      <c r="D110" s="2" t="s">
        <v>74</v>
      </c>
      <c r="E110" s="2" t="s">
        <v>17</v>
      </c>
      <c r="F110" s="21">
        <v>0.44</v>
      </c>
      <c r="G110" s="21" t="e">
        <f t="shared" ca="1" si="32"/>
        <v>#NAME?</v>
      </c>
      <c r="H110" s="21">
        <v>10</v>
      </c>
      <c r="I110" s="27" t="e">
        <f t="shared" ca="1" si="24"/>
        <v>#NAME?</v>
      </c>
      <c r="J110" s="27" t="e">
        <f t="shared" ca="1" si="25"/>
        <v>#NAME?</v>
      </c>
      <c r="K110" s="21" t="e">
        <f t="shared" ca="1" si="26"/>
        <v>#NAME?</v>
      </c>
      <c r="L110" s="2">
        <v>2.1259411678965963</v>
      </c>
      <c r="M110" s="47" t="e">
        <f t="shared" ca="1" si="21"/>
        <v>#NAME?</v>
      </c>
      <c r="N110" s="47" t="e">
        <f t="shared" ca="1" si="27"/>
        <v>#NAME?</v>
      </c>
      <c r="O110" s="47" t="e">
        <f t="shared" ca="1" si="22"/>
        <v>#NAME?</v>
      </c>
      <c r="P110" s="47" t="e">
        <f t="shared" ca="1" si="23"/>
        <v>#NAME?</v>
      </c>
      <c r="Q110" s="62" t="e">
        <f t="shared" ca="1" si="28"/>
        <v>#NAME?</v>
      </c>
      <c r="R110" s="62" t="e">
        <f t="shared" ca="1" si="29"/>
        <v>#NAME?</v>
      </c>
      <c r="Y110" s="24">
        <f t="shared" si="30"/>
        <v>0.15255932203389833</v>
      </c>
      <c r="Z110" s="25">
        <f t="shared" si="31"/>
        <v>89.576271186440664</v>
      </c>
    </row>
    <row r="111" spans="2:26" x14ac:dyDescent="0.2">
      <c r="B111" s="25">
        <f t="shared" si="20"/>
        <v>350</v>
      </c>
      <c r="C111" s="24">
        <v>2</v>
      </c>
      <c r="D111" s="2" t="s">
        <v>74</v>
      </c>
      <c r="E111" s="2" t="s">
        <v>17</v>
      </c>
      <c r="F111" s="21">
        <v>0.36</v>
      </c>
      <c r="G111" s="21" t="e">
        <f t="shared" ca="1" si="32"/>
        <v>#NAME?</v>
      </c>
      <c r="H111" s="21">
        <v>10</v>
      </c>
      <c r="I111" s="27" t="e">
        <f t="shared" ca="1" si="24"/>
        <v>#NAME?</v>
      </c>
      <c r="J111" s="27" t="e">
        <f t="shared" ca="1" si="25"/>
        <v>#NAME?</v>
      </c>
      <c r="K111" s="21" t="e">
        <f t="shared" ca="1" si="26"/>
        <v>#NAME?</v>
      </c>
      <c r="L111" s="2">
        <v>2.2671689679980296</v>
      </c>
      <c r="M111" s="47" t="e">
        <f t="shared" ca="1" si="21"/>
        <v>#NAME?</v>
      </c>
      <c r="N111" s="47" t="e">
        <f t="shared" ca="1" si="27"/>
        <v>#NAME?</v>
      </c>
      <c r="O111" s="47" t="e">
        <f t="shared" ca="1" si="22"/>
        <v>#NAME?</v>
      </c>
      <c r="P111" s="47" t="e">
        <f t="shared" ca="1" si="23"/>
        <v>#NAME?</v>
      </c>
      <c r="Q111" s="62" t="e">
        <f t="shared" ca="1" si="28"/>
        <v>#NAME?</v>
      </c>
      <c r="R111" s="62" t="e">
        <f t="shared" ca="1" si="29"/>
        <v>#NAME?</v>
      </c>
      <c r="Y111" s="24">
        <f t="shared" si="30"/>
        <v>0.15255932203389833</v>
      </c>
      <c r="Z111" s="25">
        <f t="shared" si="31"/>
        <v>99.576271186440664</v>
      </c>
    </row>
    <row r="112" spans="2:26" x14ac:dyDescent="0.2">
      <c r="B112" s="25">
        <f t="shared" si="20"/>
        <v>360</v>
      </c>
      <c r="C112" s="24">
        <v>2</v>
      </c>
      <c r="D112" s="2" t="s">
        <v>74</v>
      </c>
      <c r="E112" s="2" t="s">
        <v>17</v>
      </c>
      <c r="F112" s="21">
        <v>0.26</v>
      </c>
      <c r="G112" s="21" t="e">
        <f t="shared" ca="1" si="32"/>
        <v>#NAME?</v>
      </c>
      <c r="H112" s="21">
        <v>10</v>
      </c>
      <c r="I112" s="27" t="e">
        <f t="shared" ca="1" si="24"/>
        <v>#NAME?</v>
      </c>
      <c r="J112" s="27" t="e">
        <f t="shared" ca="1" si="25"/>
        <v>#NAME?</v>
      </c>
      <c r="K112" s="21" t="e">
        <f t="shared" ca="1" si="26"/>
        <v>#NAME?</v>
      </c>
      <c r="L112" s="2">
        <v>2.4144845962365951</v>
      </c>
      <c r="M112" s="47" t="e">
        <f t="shared" ca="1" si="21"/>
        <v>#NAME?</v>
      </c>
      <c r="N112" s="47" t="e">
        <f t="shared" ca="1" si="27"/>
        <v>#NAME?</v>
      </c>
      <c r="O112" s="47" t="e">
        <f t="shared" ca="1" si="22"/>
        <v>#NAME?</v>
      </c>
      <c r="P112" s="47" t="e">
        <f t="shared" ca="1" si="23"/>
        <v>#NAME?</v>
      </c>
      <c r="Q112" s="62" t="e">
        <f t="shared" ca="1" si="28"/>
        <v>#NAME?</v>
      </c>
      <c r="R112" s="62" t="e">
        <f t="shared" ca="1" si="29"/>
        <v>#NAME?</v>
      </c>
      <c r="Y112" s="24">
        <f t="shared" si="30"/>
        <v>0.15255932203389833</v>
      </c>
      <c r="Z112" s="25">
        <f t="shared" si="31"/>
        <v>109.57627118644066</v>
      </c>
    </row>
    <row r="113" spans="2:26" x14ac:dyDescent="0.2">
      <c r="B113" s="25">
        <f t="shared" si="20"/>
        <v>370</v>
      </c>
      <c r="C113" s="24">
        <v>2</v>
      </c>
      <c r="D113" s="2" t="s">
        <v>74</v>
      </c>
      <c r="E113" s="2" t="s">
        <v>17</v>
      </c>
      <c r="F113" s="21">
        <v>0.21</v>
      </c>
      <c r="G113" s="21" t="e">
        <f t="shared" ca="1" si="32"/>
        <v>#NAME?</v>
      </c>
      <c r="H113" s="21">
        <v>10</v>
      </c>
      <c r="I113" s="27" t="e">
        <f t="shared" ca="1" si="24"/>
        <v>#NAME?</v>
      </c>
      <c r="J113" s="27" t="e">
        <f t="shared" ca="1" si="25"/>
        <v>#NAME?</v>
      </c>
      <c r="K113" s="21" t="e">
        <f t="shared" ca="1" si="26"/>
        <v>#NAME?</v>
      </c>
      <c r="L113" s="2">
        <v>2.5677541801988752</v>
      </c>
      <c r="M113" s="47" t="e">
        <f t="shared" ca="1" si="21"/>
        <v>#NAME?</v>
      </c>
      <c r="N113" s="47" t="e">
        <f t="shared" ca="1" si="27"/>
        <v>#NAME?</v>
      </c>
      <c r="O113" s="47" t="e">
        <f t="shared" ca="1" si="22"/>
        <v>#NAME?</v>
      </c>
      <c r="P113" s="47" t="e">
        <f t="shared" ca="1" si="23"/>
        <v>#NAME?</v>
      </c>
      <c r="Q113" s="62" t="e">
        <f t="shared" ca="1" si="28"/>
        <v>#NAME?</v>
      </c>
      <c r="R113" s="62" t="e">
        <f t="shared" ca="1" si="29"/>
        <v>#NAME?</v>
      </c>
      <c r="Y113" s="24">
        <f t="shared" si="30"/>
        <v>0.15255932203389833</v>
      </c>
      <c r="Z113" s="25">
        <f t="shared" si="31"/>
        <v>119.57627118644066</v>
      </c>
    </row>
    <row r="114" spans="2:26" x14ac:dyDescent="0.2">
      <c r="B114" s="25">
        <f t="shared" si="20"/>
        <v>380</v>
      </c>
      <c r="C114" s="24">
        <v>2</v>
      </c>
      <c r="D114" s="2" t="s">
        <v>74</v>
      </c>
      <c r="E114" s="2" t="s">
        <v>17</v>
      </c>
      <c r="F114" s="21">
        <v>0.16</v>
      </c>
      <c r="G114" s="21" t="e">
        <f t="shared" ca="1" si="32"/>
        <v>#NAME?</v>
      </c>
      <c r="H114" s="21">
        <v>10</v>
      </c>
      <c r="I114" s="27" t="e">
        <f t="shared" ca="1" si="24"/>
        <v>#NAME?</v>
      </c>
      <c r="J114" s="27" t="e">
        <f t="shared" ca="1" si="25"/>
        <v>#NAME?</v>
      </c>
      <c r="K114" s="21" t="e">
        <f t="shared" ca="1" si="26"/>
        <v>#NAME?</v>
      </c>
      <c r="L114" s="2">
        <v>2.7268633986873678</v>
      </c>
      <c r="M114" s="47" t="e">
        <f t="shared" ca="1" si="21"/>
        <v>#NAME?</v>
      </c>
      <c r="N114" s="47" t="e">
        <f t="shared" ca="1" si="27"/>
        <v>#NAME?</v>
      </c>
      <c r="O114" s="47" t="e">
        <f t="shared" ca="1" si="22"/>
        <v>#NAME?</v>
      </c>
      <c r="P114" s="47" t="e">
        <f t="shared" ca="1" si="23"/>
        <v>#NAME?</v>
      </c>
      <c r="Q114" s="62" t="e">
        <f t="shared" ca="1" si="28"/>
        <v>#NAME?</v>
      </c>
      <c r="R114" s="62" t="e">
        <f t="shared" ca="1" si="29"/>
        <v>#NAME?</v>
      </c>
      <c r="Y114" s="24">
        <f t="shared" si="30"/>
        <v>0.15255932203389833</v>
      </c>
      <c r="Z114" s="25">
        <f t="shared" si="31"/>
        <v>129.57627118644066</v>
      </c>
    </row>
    <row r="115" spans="2:26" x14ac:dyDescent="0.2">
      <c r="B115" s="25">
        <f t="shared" si="20"/>
        <v>390</v>
      </c>
      <c r="C115" s="24">
        <v>2</v>
      </c>
      <c r="D115" s="2" t="s">
        <v>74</v>
      </c>
      <c r="E115" s="2" t="s">
        <v>17</v>
      </c>
      <c r="F115" s="21">
        <v>0.13</v>
      </c>
      <c r="G115" s="21" t="e">
        <f t="shared" ca="1" si="32"/>
        <v>#NAME?</v>
      </c>
      <c r="H115" s="21">
        <v>10</v>
      </c>
      <c r="I115" s="27" t="e">
        <f t="shared" ca="1" si="24"/>
        <v>#NAME?</v>
      </c>
      <c r="J115" s="27" t="e">
        <f t="shared" ca="1" si="25"/>
        <v>#NAME?</v>
      </c>
      <c r="K115" s="21" t="e">
        <f t="shared" ca="1" si="26"/>
        <v>#NAME?</v>
      </c>
      <c r="L115" s="2">
        <v>2.8917142616318312</v>
      </c>
      <c r="M115" s="47" t="e">
        <f t="shared" ca="1" si="21"/>
        <v>#NAME?</v>
      </c>
      <c r="N115" s="47" t="e">
        <f t="shared" ca="1" si="27"/>
        <v>#NAME?</v>
      </c>
      <c r="O115" s="47" t="e">
        <f t="shared" ca="1" si="22"/>
        <v>#NAME?</v>
      </c>
      <c r="P115" s="47" t="e">
        <f t="shared" ca="1" si="23"/>
        <v>#NAME?</v>
      </c>
      <c r="Q115" s="62" t="e">
        <f t="shared" ca="1" si="28"/>
        <v>#NAME?</v>
      </c>
      <c r="R115" s="62" t="e">
        <f t="shared" ca="1" si="29"/>
        <v>#NAME?</v>
      </c>
      <c r="Y115" s="24">
        <f t="shared" si="30"/>
        <v>0.15255932203389833</v>
      </c>
      <c r="Z115" s="25">
        <f t="shared" si="31"/>
        <v>139.57627118644066</v>
      </c>
    </row>
    <row r="116" spans="2:26" x14ac:dyDescent="0.2">
      <c r="B116" s="25">
        <f t="shared" si="20"/>
        <v>400</v>
      </c>
      <c r="C116" s="24">
        <v>2</v>
      </c>
      <c r="D116" s="2" t="s">
        <v>74</v>
      </c>
      <c r="E116" s="2" t="s">
        <v>17</v>
      </c>
      <c r="F116" s="21">
        <v>0.1</v>
      </c>
      <c r="G116" s="21" t="e">
        <f t="shared" ca="1" si="32"/>
        <v>#NAME?</v>
      </c>
      <c r="H116" s="21">
        <v>10</v>
      </c>
      <c r="I116" s="27" t="e">
        <f t="shared" ca="1" si="24"/>
        <v>#NAME?</v>
      </c>
      <c r="J116" s="27" t="e">
        <f t="shared" ca="1" si="25"/>
        <v>#NAME?</v>
      </c>
      <c r="K116" s="21" t="e">
        <f t="shared" ca="1" si="26"/>
        <v>#NAME?</v>
      </c>
      <c r="L116" s="2">
        <v>3.0622224797195572</v>
      </c>
      <c r="M116" s="47" t="e">
        <f t="shared" ca="1" si="21"/>
        <v>#NAME?</v>
      </c>
      <c r="N116" s="47" t="e">
        <f t="shared" ca="1" si="27"/>
        <v>#NAME?</v>
      </c>
      <c r="O116" s="47" t="e">
        <f t="shared" ca="1" si="22"/>
        <v>#NAME?</v>
      </c>
      <c r="P116" s="47" t="e">
        <f t="shared" ca="1" si="23"/>
        <v>#NAME?</v>
      </c>
      <c r="Q116" s="62" t="e">
        <f t="shared" ca="1" si="28"/>
        <v>#NAME?</v>
      </c>
      <c r="R116" s="62" t="e">
        <f t="shared" ca="1" si="29"/>
        <v>#NAME?</v>
      </c>
      <c r="Y116" s="24">
        <f t="shared" si="30"/>
        <v>0.15255932203389833</v>
      </c>
      <c r="Z116" s="25">
        <f t="shared" si="31"/>
        <v>149.57627118644066</v>
      </c>
    </row>
    <row r="117" spans="2:26" x14ac:dyDescent="0.2">
      <c r="B117" s="25">
        <f t="shared" si="20"/>
        <v>410</v>
      </c>
      <c r="C117" s="24">
        <v>2</v>
      </c>
      <c r="D117" s="2" t="s">
        <v>74</v>
      </c>
      <c r="E117" s="2" t="s">
        <v>17</v>
      </c>
      <c r="F117" s="21">
        <v>0.08</v>
      </c>
      <c r="G117" s="21" t="e">
        <f t="shared" ca="1" si="32"/>
        <v>#NAME?</v>
      </c>
      <c r="H117" s="21">
        <v>10</v>
      </c>
      <c r="I117" s="27" t="e">
        <f t="shared" ca="1" si="24"/>
        <v>#NAME?</v>
      </c>
      <c r="J117" s="27" t="e">
        <f t="shared" ca="1" si="25"/>
        <v>#NAME?</v>
      </c>
      <c r="K117" s="21" t="e">
        <f t="shared" ca="1" si="26"/>
        <v>#NAME?</v>
      </c>
      <c r="L117" s="2">
        <v>3.2383153047972146</v>
      </c>
      <c r="M117" s="47" t="e">
        <f t="shared" ca="1" si="21"/>
        <v>#NAME?</v>
      </c>
      <c r="N117" s="47" t="e">
        <f t="shared" ca="1" si="27"/>
        <v>#NAME?</v>
      </c>
      <c r="O117" s="47" t="e">
        <f t="shared" ca="1" si="22"/>
        <v>#NAME?</v>
      </c>
      <c r="P117" s="47" t="e">
        <f t="shared" ca="1" si="23"/>
        <v>#NAME?</v>
      </c>
      <c r="Q117" s="62" t="e">
        <f t="shared" ca="1" si="28"/>
        <v>#NAME?</v>
      </c>
      <c r="R117" s="62" t="e">
        <f t="shared" ca="1" si="29"/>
        <v>#NAME?</v>
      </c>
      <c r="Y117" s="24">
        <f t="shared" si="30"/>
        <v>0.15255932203389833</v>
      </c>
      <c r="Z117" s="25">
        <f t="shared" si="31"/>
        <v>159.57627118644066</v>
      </c>
    </row>
    <row r="118" spans="2:26" x14ac:dyDescent="0.2">
      <c r="B118" s="25">
        <f t="shared" si="20"/>
        <v>420</v>
      </c>
      <c r="C118" s="24">
        <v>2</v>
      </c>
      <c r="D118" s="2" t="s">
        <v>74</v>
      </c>
      <c r="E118" s="2" t="s">
        <v>17</v>
      </c>
      <c r="F118" s="21">
        <v>0.06</v>
      </c>
      <c r="G118" s="21" t="e">
        <f t="shared" ca="1" si="32"/>
        <v>#NAME?</v>
      </c>
      <c r="H118" s="21">
        <v>10</v>
      </c>
      <c r="I118" s="27" t="e">
        <f t="shared" ca="1" si="24"/>
        <v>#NAME?</v>
      </c>
      <c r="J118" s="27" t="e">
        <f t="shared" ca="1" si="25"/>
        <v>#NAME?</v>
      </c>
      <c r="K118" s="21" t="e">
        <f t="shared" ca="1" si="26"/>
        <v>#NAME?</v>
      </c>
      <c r="L118" s="2">
        <v>3.4199297484554667</v>
      </c>
      <c r="M118" s="47" t="e">
        <f t="shared" ca="1" si="21"/>
        <v>#NAME?</v>
      </c>
      <c r="N118" s="47" t="e">
        <f t="shared" ca="1" si="27"/>
        <v>#NAME?</v>
      </c>
      <c r="O118" s="47" t="e">
        <f t="shared" ca="1" si="22"/>
        <v>#NAME?</v>
      </c>
      <c r="P118" s="47" t="e">
        <f t="shared" ca="1" si="23"/>
        <v>#NAME?</v>
      </c>
      <c r="Q118" s="62" t="e">
        <f t="shared" ca="1" si="28"/>
        <v>#NAME?</v>
      </c>
      <c r="R118" s="62" t="e">
        <f t="shared" ca="1" si="29"/>
        <v>#NAME?</v>
      </c>
      <c r="Y118" s="24">
        <f t="shared" si="30"/>
        <v>0.15255932203389833</v>
      </c>
      <c r="Z118" s="25">
        <f t="shared" si="31"/>
        <v>169.57627118644066</v>
      </c>
    </row>
    <row r="119" spans="2:26" x14ac:dyDescent="0.2">
      <c r="B119" s="25">
        <f t="shared" si="20"/>
        <v>430</v>
      </c>
      <c r="C119" s="24">
        <v>2</v>
      </c>
      <c r="D119" s="2" t="s">
        <v>74</v>
      </c>
      <c r="E119" s="2" t="s">
        <v>17</v>
      </c>
      <c r="F119" s="21">
        <v>0.05</v>
      </c>
      <c r="G119" s="21" t="e">
        <f t="shared" ca="1" si="32"/>
        <v>#NAME?</v>
      </c>
      <c r="H119" s="21">
        <v>10</v>
      </c>
      <c r="I119" s="27" t="e">
        <f t="shared" ca="1" si="24"/>
        <v>#NAME?</v>
      </c>
      <c r="J119" s="27" t="e">
        <f t="shared" ca="1" si="25"/>
        <v>#NAME?</v>
      </c>
      <c r="K119" s="21" t="e">
        <f t="shared" ca="1" si="26"/>
        <v>#NAME?</v>
      </c>
      <c r="L119" s="2">
        <v>3.6070111058302201</v>
      </c>
      <c r="M119" s="47" t="e">
        <f t="shared" ca="1" si="21"/>
        <v>#NAME?</v>
      </c>
      <c r="N119" s="47" t="e">
        <f t="shared" ca="1" si="27"/>
        <v>#NAME?</v>
      </c>
      <c r="O119" s="47" t="e">
        <f t="shared" ca="1" si="22"/>
        <v>#NAME?</v>
      </c>
      <c r="P119" s="47" t="e">
        <f t="shared" ca="1" si="23"/>
        <v>#NAME?</v>
      </c>
      <c r="Q119" s="62" t="e">
        <f t="shared" ca="1" si="28"/>
        <v>#NAME?</v>
      </c>
      <c r="R119" s="62" t="e">
        <f t="shared" ca="1" si="29"/>
        <v>#NAME?</v>
      </c>
      <c r="Y119" s="24">
        <f t="shared" si="30"/>
        <v>0.15255932203389833</v>
      </c>
      <c r="Z119" s="25">
        <f t="shared" si="31"/>
        <v>179.57627118644066</v>
      </c>
    </row>
    <row r="120" spans="2:26" x14ac:dyDescent="0.2">
      <c r="B120" s="25">
        <f t="shared" si="20"/>
        <v>440</v>
      </c>
      <c r="C120" s="24">
        <v>2</v>
      </c>
      <c r="D120" s="2" t="s">
        <v>74</v>
      </c>
      <c r="E120" s="2" t="s">
        <v>17</v>
      </c>
      <c r="F120" s="21">
        <v>0.04</v>
      </c>
      <c r="G120" s="21" t="e">
        <f t="shared" ca="1" si="32"/>
        <v>#NAME?</v>
      </c>
      <c r="H120" s="21">
        <v>10</v>
      </c>
      <c r="I120" s="27" t="e">
        <f t="shared" ca="1" si="24"/>
        <v>#NAME?</v>
      </c>
      <c r="J120" s="27" t="e">
        <f t="shared" ca="1" si="25"/>
        <v>#NAME?</v>
      </c>
      <c r="K120" s="21" t="e">
        <f t="shared" ca="1" si="26"/>
        <v>#NAME?</v>
      </c>
      <c r="L120" s="2">
        <v>3.7995117273194765</v>
      </c>
      <c r="M120" s="47" t="e">
        <f t="shared" ca="1" si="21"/>
        <v>#NAME?</v>
      </c>
      <c r="N120" s="47" t="e">
        <f t="shared" ca="1" si="27"/>
        <v>#NAME?</v>
      </c>
      <c r="O120" s="47" t="e">
        <f t="shared" ca="1" si="22"/>
        <v>#NAME?</v>
      </c>
      <c r="P120" s="47" t="e">
        <f t="shared" ca="1" si="23"/>
        <v>#NAME?</v>
      </c>
      <c r="Q120" s="62" t="e">
        <f t="shared" ca="1" si="28"/>
        <v>#NAME?</v>
      </c>
      <c r="R120" s="62" t="e">
        <f t="shared" ca="1" si="29"/>
        <v>#NAME?</v>
      </c>
      <c r="Y120" s="24">
        <f t="shared" si="30"/>
        <v>0.15255932203389833</v>
      </c>
      <c r="Z120" s="25">
        <f t="shared" si="31"/>
        <v>189.57627118644066</v>
      </c>
    </row>
    <row r="121" spans="2:26" x14ac:dyDescent="0.2">
      <c r="B121" s="25">
        <f t="shared" si="20"/>
        <v>450</v>
      </c>
      <c r="C121" s="24">
        <v>2</v>
      </c>
      <c r="D121" s="2" t="s">
        <v>74</v>
      </c>
      <c r="E121" s="2" t="s">
        <v>17</v>
      </c>
      <c r="F121" s="21">
        <v>0.03</v>
      </c>
      <c r="G121" s="21" t="e">
        <f t="shared" ca="1" si="32"/>
        <v>#NAME?</v>
      </c>
      <c r="H121" s="21">
        <v>10</v>
      </c>
      <c r="I121" s="27" t="e">
        <f t="shared" ca="1" si="24"/>
        <v>#NAME?</v>
      </c>
      <c r="J121" s="27" t="e">
        <f t="shared" ca="1" si="25"/>
        <v>#NAME?</v>
      </c>
      <c r="K121" s="21" t="e">
        <f t="shared" ca="1" si="26"/>
        <v>#NAME?</v>
      </c>
      <c r="L121" s="2">
        <v>3.9973899923598264</v>
      </c>
      <c r="M121" s="47" t="e">
        <f t="shared" ca="1" si="21"/>
        <v>#NAME?</v>
      </c>
      <c r="N121" s="47" t="e">
        <f t="shared" ca="1" si="27"/>
        <v>#NAME?</v>
      </c>
      <c r="O121" s="47" t="e">
        <f t="shared" ca="1" si="22"/>
        <v>#NAME?</v>
      </c>
      <c r="P121" s="47" t="e">
        <f t="shared" ca="1" si="23"/>
        <v>#NAME?</v>
      </c>
      <c r="Q121" s="62" t="e">
        <f t="shared" ca="1" si="28"/>
        <v>#NAME?</v>
      </c>
      <c r="R121" s="62" t="e">
        <f t="shared" ca="1" si="29"/>
        <v>#NAME?</v>
      </c>
      <c r="Y121" s="24">
        <f t="shared" si="30"/>
        <v>0.15255932203389833</v>
      </c>
      <c r="Z121" s="25">
        <f t="shared" si="31"/>
        <v>199.57627118644066</v>
      </c>
    </row>
    <row r="122" spans="2:26" x14ac:dyDescent="0.2">
      <c r="B122" s="25">
        <f t="shared" si="20"/>
        <v>460</v>
      </c>
      <c r="C122" s="24">
        <v>2</v>
      </c>
      <c r="D122" s="2" t="s">
        <v>74</v>
      </c>
      <c r="E122" s="2" t="s">
        <v>17</v>
      </c>
      <c r="F122" s="21">
        <v>0.02</v>
      </c>
      <c r="G122" s="21" t="e">
        <f t="shared" ca="1" si="32"/>
        <v>#NAME?</v>
      </c>
      <c r="H122" s="21">
        <v>10</v>
      </c>
      <c r="I122" s="27" t="e">
        <f t="shared" ca="1" si="24"/>
        <v>#NAME?</v>
      </c>
      <c r="J122" s="27" t="e">
        <f t="shared" ca="1" si="25"/>
        <v>#NAME?</v>
      </c>
      <c r="K122" s="21" t="e">
        <f t="shared" ca="1" si="26"/>
        <v>#NAME?</v>
      </c>
      <c r="L122" s="2">
        <v>4.2006094488346291</v>
      </c>
      <c r="M122" s="47" t="e">
        <f t="shared" ca="1" si="21"/>
        <v>#NAME?</v>
      </c>
      <c r="N122" s="47" t="e">
        <f t="shared" ca="1" si="27"/>
        <v>#NAME?</v>
      </c>
      <c r="O122" s="47" t="e">
        <f t="shared" ca="1" si="22"/>
        <v>#NAME?</v>
      </c>
      <c r="P122" s="47" t="e">
        <f t="shared" ca="1" si="23"/>
        <v>#NAME?</v>
      </c>
      <c r="Q122" s="62" t="e">
        <f t="shared" ca="1" si="28"/>
        <v>#NAME?</v>
      </c>
      <c r="R122" s="62" t="e">
        <f t="shared" ca="1" si="29"/>
        <v>#NAME?</v>
      </c>
      <c r="Y122" s="24">
        <f t="shared" si="30"/>
        <v>0.15255932203389833</v>
      </c>
      <c r="Z122" s="25">
        <f t="shared" si="31"/>
        <v>209.57627118644066</v>
      </c>
    </row>
    <row r="123" spans="2:26" x14ac:dyDescent="0.2">
      <c r="B123" s="25">
        <f t="shared" si="20"/>
        <v>470</v>
      </c>
      <c r="C123" s="24">
        <v>2</v>
      </c>
      <c r="D123" s="2" t="s">
        <v>74</v>
      </c>
      <c r="E123" s="2" t="s">
        <v>17</v>
      </c>
      <c r="F123" s="21">
        <v>0.01</v>
      </c>
      <c r="G123" s="21" t="e">
        <f t="shared" ca="1" si="32"/>
        <v>#NAME?</v>
      </c>
      <c r="H123" s="21">
        <v>10</v>
      </c>
      <c r="I123" s="27" t="e">
        <f t="shared" ca="1" si="24"/>
        <v>#NAME?</v>
      </c>
      <c r="J123" s="27" t="e">
        <f t="shared" ca="1" si="25"/>
        <v>#NAME?</v>
      </c>
      <c r="K123" s="21" t="e">
        <f t="shared" ca="1" si="26"/>
        <v>#NAME?</v>
      </c>
      <c r="L123" s="2">
        <v>4.4091380886758289</v>
      </c>
      <c r="M123" s="47" t="e">
        <f t="shared" ref="M123:M146" ca="1" si="33">G$15*(1+1/$G$16+(C123-$G$18)^2/Y$24+(B123-$G$19)^2/Z$24)</f>
        <v>#NAME?</v>
      </c>
      <c r="N123" s="47" t="e">
        <f t="shared" ca="1" si="27"/>
        <v>#NAME?</v>
      </c>
      <c r="O123" s="47" t="e">
        <f t="shared" ref="O123:O154" ca="1" si="34">IF(D$22="yes",EXP(LN(G123)-G$22*N123),G123-G$22*N123)</f>
        <v>#NAME?</v>
      </c>
      <c r="P123" s="47" t="e">
        <f t="shared" ref="P123:P146" ca="1" si="35">IF(D$22="yes",EXP(LN(G123)+G$22*N123),G123-G$22*N123)</f>
        <v>#NAME?</v>
      </c>
      <c r="Q123" s="62" t="e">
        <f t="shared" ca="1" si="28"/>
        <v>#NAME?</v>
      </c>
      <c r="R123" s="62" t="e">
        <f t="shared" ca="1" si="29"/>
        <v>#NAME?</v>
      </c>
      <c r="Y123" s="24">
        <f t="shared" si="30"/>
        <v>0.15255932203389833</v>
      </c>
      <c r="Z123" s="25">
        <f t="shared" si="31"/>
        <v>219.57627118644066</v>
      </c>
    </row>
    <row r="124" spans="2:26" x14ac:dyDescent="0.2">
      <c r="B124" s="25">
        <f t="shared" si="20"/>
        <v>480</v>
      </c>
      <c r="C124" s="24">
        <v>2</v>
      </c>
      <c r="D124" s="2" t="s">
        <v>74</v>
      </c>
      <c r="E124" s="2" t="s">
        <v>17</v>
      </c>
      <c r="F124" s="21">
        <v>0.01</v>
      </c>
      <c r="G124" s="21" t="e">
        <f t="shared" ca="1" si="32"/>
        <v>#NAME?</v>
      </c>
      <c r="H124" s="21">
        <v>10</v>
      </c>
      <c r="I124" s="27" t="e">
        <f t="shared" ca="1" si="24"/>
        <v>#NAME?</v>
      </c>
      <c r="J124" s="27" t="e">
        <f t="shared" ca="1" si="25"/>
        <v>#NAME?</v>
      </c>
      <c r="K124" s="21" t="e">
        <f t="shared" ca="1" si="26"/>
        <v>#NAME?</v>
      </c>
      <c r="L124" s="2">
        <v>4.6229477361484843</v>
      </c>
      <c r="M124" s="47" t="e">
        <f t="shared" ca="1" si="33"/>
        <v>#NAME?</v>
      </c>
      <c r="N124" s="47" t="e">
        <f t="shared" ca="1" si="27"/>
        <v>#NAME?</v>
      </c>
      <c r="O124" s="47" t="e">
        <f t="shared" ca="1" si="34"/>
        <v>#NAME?</v>
      </c>
      <c r="P124" s="47" t="e">
        <f t="shared" ca="1" si="35"/>
        <v>#NAME?</v>
      </c>
      <c r="Q124" s="62" t="e">
        <f t="shared" ca="1" si="28"/>
        <v>#NAME?</v>
      </c>
      <c r="R124" s="62" t="e">
        <f t="shared" ca="1" si="29"/>
        <v>#NAME?</v>
      </c>
      <c r="Y124" s="24">
        <f t="shared" si="30"/>
        <v>0.15255932203389833</v>
      </c>
      <c r="Z124" s="25">
        <f t="shared" si="31"/>
        <v>229.57627118644066</v>
      </c>
    </row>
    <row r="125" spans="2:26" x14ac:dyDescent="0.2">
      <c r="B125" s="25">
        <f t="shared" si="20"/>
        <v>490</v>
      </c>
      <c r="C125" s="24">
        <v>2</v>
      </c>
      <c r="D125" s="2" t="s">
        <v>74</v>
      </c>
      <c r="E125" s="2" t="s">
        <v>17</v>
      </c>
      <c r="F125" s="21">
        <v>0.01</v>
      </c>
      <c r="G125" s="21" t="e">
        <f t="shared" ca="1" si="32"/>
        <v>#NAME?</v>
      </c>
      <c r="H125" s="21">
        <v>10</v>
      </c>
      <c r="I125" s="27" t="e">
        <f t="shared" ca="1" si="24"/>
        <v>#NAME?</v>
      </c>
      <c r="J125" s="27" t="e">
        <f t="shared" ca="1" si="25"/>
        <v>#NAME?</v>
      </c>
      <c r="K125" s="21" t="e">
        <f t="shared" ca="1" si="26"/>
        <v>#NAME?</v>
      </c>
      <c r="L125" s="2">
        <v>4.8420135292861834</v>
      </c>
      <c r="M125" s="47" t="e">
        <f t="shared" ca="1" si="33"/>
        <v>#NAME?</v>
      </c>
      <c r="N125" s="47" t="e">
        <f t="shared" ca="1" si="27"/>
        <v>#NAME?</v>
      </c>
      <c r="O125" s="47" t="e">
        <f t="shared" ca="1" si="34"/>
        <v>#NAME?</v>
      </c>
      <c r="P125" s="47" t="e">
        <f t="shared" ca="1" si="35"/>
        <v>#NAME?</v>
      </c>
      <c r="Q125" s="62" t="e">
        <f t="shared" ca="1" si="28"/>
        <v>#NAME?</v>
      </c>
      <c r="R125" s="62" t="e">
        <f t="shared" ca="1" si="29"/>
        <v>#NAME?</v>
      </c>
      <c r="Y125" s="24">
        <f t="shared" si="30"/>
        <v>0.15255932203389833</v>
      </c>
      <c r="Z125" s="25">
        <f t="shared" si="31"/>
        <v>239.57627118644066</v>
      </c>
    </row>
    <row r="126" spans="2:26" x14ac:dyDescent="0.2">
      <c r="B126" s="25">
        <f t="shared" si="20"/>
        <v>500</v>
      </c>
      <c r="C126" s="24">
        <v>2</v>
      </c>
      <c r="D126" s="2" t="s">
        <v>74</v>
      </c>
      <c r="E126" s="2" t="s">
        <v>17</v>
      </c>
      <c r="F126" s="21">
        <v>0.01</v>
      </c>
      <c r="G126" s="21" t="e">
        <f t="shared" ca="1" si="32"/>
        <v>#NAME?</v>
      </c>
      <c r="H126" s="21">
        <v>10</v>
      </c>
      <c r="I126" s="27" t="e">
        <f t="shared" ca="1" si="24"/>
        <v>#NAME?</v>
      </c>
      <c r="J126" s="27" t="e">
        <f t="shared" ca="1" si="25"/>
        <v>#NAME?</v>
      </c>
      <c r="K126" s="21" t="e">
        <f t="shared" ca="1" si="26"/>
        <v>#NAME?</v>
      </c>
      <c r="L126" s="2">
        <v>5.0663134795731102</v>
      </c>
      <c r="M126" s="47" t="e">
        <f t="shared" ca="1" si="33"/>
        <v>#NAME?</v>
      </c>
      <c r="N126" s="47" t="e">
        <f t="shared" ca="1" si="27"/>
        <v>#NAME?</v>
      </c>
      <c r="O126" s="47" t="e">
        <f t="shared" ca="1" si="34"/>
        <v>#NAME?</v>
      </c>
      <c r="P126" s="47" t="e">
        <f t="shared" ca="1" si="35"/>
        <v>#NAME?</v>
      </c>
      <c r="Q126" s="62" t="e">
        <f t="shared" ca="1" si="28"/>
        <v>#NAME?</v>
      </c>
      <c r="R126" s="62" t="e">
        <f t="shared" ca="1" si="29"/>
        <v>#NAME?</v>
      </c>
      <c r="Y126" s="24">
        <f t="shared" si="30"/>
        <v>0.15255932203389833</v>
      </c>
      <c r="Z126" s="25">
        <f t="shared" si="31"/>
        <v>249.57627118644066</v>
      </c>
    </row>
    <row r="127" spans="2:26" x14ac:dyDescent="0.2">
      <c r="B127" s="25">
        <v>150</v>
      </c>
      <c r="C127" s="21">
        <v>0</v>
      </c>
      <c r="D127" s="2" t="s">
        <v>74</v>
      </c>
      <c r="E127" s="2" t="s">
        <v>18</v>
      </c>
      <c r="F127" s="21">
        <v>0.09</v>
      </c>
      <c r="G127" s="21" t="e">
        <f t="shared" ca="1" si="32"/>
        <v>#NAME?</v>
      </c>
      <c r="H127" s="21">
        <v>10</v>
      </c>
      <c r="I127" s="27" t="e">
        <f t="shared" ca="1" si="24"/>
        <v>#NAME?</v>
      </c>
      <c r="J127" s="27" t="e">
        <f t="shared" ca="1" si="25"/>
        <v>#NAME?</v>
      </c>
      <c r="K127" s="21" t="e">
        <f t="shared" ca="1" si="26"/>
        <v>#NAME?</v>
      </c>
      <c r="L127" s="2">
        <v>0.47062575746241164</v>
      </c>
      <c r="M127" s="47" t="e">
        <f t="shared" ca="1" si="33"/>
        <v>#NAME?</v>
      </c>
      <c r="N127" s="47" t="e">
        <f t="shared" ca="1" si="27"/>
        <v>#NAME?</v>
      </c>
      <c r="O127" s="47" t="e">
        <f t="shared" ca="1" si="34"/>
        <v>#NAME?</v>
      </c>
      <c r="P127" s="47" t="e">
        <f t="shared" ca="1" si="35"/>
        <v>#NAME?</v>
      </c>
      <c r="Q127" s="62" t="e">
        <f t="shared" ca="1" si="28"/>
        <v>#NAME?</v>
      </c>
      <c r="R127" s="62" t="e">
        <f t="shared" ca="1" si="29"/>
        <v>#NAME?</v>
      </c>
      <c r="Y127" s="24">
        <f t="shared" si="30"/>
        <v>-1.8474406779661017</v>
      </c>
      <c r="Z127" s="25">
        <f t="shared" si="31"/>
        <v>-100.42372881355934</v>
      </c>
    </row>
    <row r="128" spans="2:26" x14ac:dyDescent="0.2">
      <c r="B128" s="25">
        <v>150</v>
      </c>
      <c r="C128" s="21">
        <f>C127+0.25</f>
        <v>0.25</v>
      </c>
      <c r="D128" s="2" t="s">
        <v>74</v>
      </c>
      <c r="E128" s="2" t="s">
        <v>18</v>
      </c>
      <c r="F128" s="21">
        <v>0.62</v>
      </c>
      <c r="G128" s="21" t="e">
        <f t="shared" ca="1" si="32"/>
        <v>#NAME?</v>
      </c>
      <c r="H128" s="21">
        <v>10</v>
      </c>
      <c r="I128" s="27" t="e">
        <f t="shared" ca="1" si="24"/>
        <v>#NAME?</v>
      </c>
      <c r="J128" s="27" t="e">
        <f t="shared" ca="1" si="25"/>
        <v>#NAME?</v>
      </c>
      <c r="K128" s="21" t="e">
        <f t="shared" ca="1" si="26"/>
        <v>#NAME?</v>
      </c>
      <c r="L128" s="2">
        <v>0.42152985840997687</v>
      </c>
      <c r="M128" s="47" t="e">
        <f t="shared" ca="1" si="33"/>
        <v>#NAME?</v>
      </c>
      <c r="N128" s="47" t="e">
        <f t="shared" ca="1" si="27"/>
        <v>#NAME?</v>
      </c>
      <c r="O128" s="47" t="e">
        <f t="shared" ca="1" si="34"/>
        <v>#NAME?</v>
      </c>
      <c r="P128" s="47" t="e">
        <f t="shared" ca="1" si="35"/>
        <v>#NAME?</v>
      </c>
      <c r="Q128" s="62" t="e">
        <f t="shared" ca="1" si="28"/>
        <v>#NAME?</v>
      </c>
      <c r="R128" s="62" t="e">
        <f t="shared" ca="1" si="29"/>
        <v>#NAME?</v>
      </c>
      <c r="Y128" s="24">
        <f t="shared" si="30"/>
        <v>-1.5974406779661017</v>
      </c>
      <c r="Z128" s="25">
        <f t="shared" si="31"/>
        <v>-100.42372881355934</v>
      </c>
    </row>
    <row r="129" spans="2:26" x14ac:dyDescent="0.2">
      <c r="B129" s="25">
        <v>150</v>
      </c>
      <c r="C129" s="21">
        <f t="shared" ref="C129:C134" si="36">C128+0.25</f>
        <v>0.5</v>
      </c>
      <c r="D129" s="2" t="s">
        <v>74</v>
      </c>
      <c r="E129" s="2" t="s">
        <v>18</v>
      </c>
      <c r="F129" s="21">
        <v>2.11</v>
      </c>
      <c r="G129" s="21" t="e">
        <f t="shared" ca="1" si="32"/>
        <v>#NAME?</v>
      </c>
      <c r="H129" s="21">
        <v>10</v>
      </c>
      <c r="I129" s="27" t="e">
        <f t="shared" ca="1" si="24"/>
        <v>#NAME?</v>
      </c>
      <c r="J129" s="27" t="e">
        <f t="shared" ca="1" si="25"/>
        <v>#NAME?</v>
      </c>
      <c r="K129" s="21" t="e">
        <f t="shared" ca="1" si="26"/>
        <v>#NAME?</v>
      </c>
      <c r="L129" s="2">
        <v>0.38514658775687854</v>
      </c>
      <c r="M129" s="47" t="e">
        <f t="shared" ca="1" si="33"/>
        <v>#NAME?</v>
      </c>
      <c r="N129" s="47" t="e">
        <f t="shared" ca="1" si="27"/>
        <v>#NAME?</v>
      </c>
      <c r="O129" s="47" t="e">
        <f t="shared" ca="1" si="34"/>
        <v>#NAME?</v>
      </c>
      <c r="P129" s="47" t="e">
        <f t="shared" ca="1" si="35"/>
        <v>#NAME?</v>
      </c>
      <c r="Q129" s="62" t="e">
        <f t="shared" ca="1" si="28"/>
        <v>#NAME?</v>
      </c>
      <c r="R129" s="62" t="e">
        <f t="shared" ca="1" si="29"/>
        <v>#NAME?</v>
      </c>
      <c r="Y129" s="24">
        <f t="shared" si="30"/>
        <v>-1.3474406779661017</v>
      </c>
      <c r="Z129" s="25">
        <f t="shared" si="31"/>
        <v>-100.42372881355934</v>
      </c>
    </row>
    <row r="130" spans="2:26" x14ac:dyDescent="0.2">
      <c r="B130" s="25">
        <v>150</v>
      </c>
      <c r="C130" s="21">
        <f t="shared" si="36"/>
        <v>0.75</v>
      </c>
      <c r="D130" s="2" t="s">
        <v>74</v>
      </c>
      <c r="E130" s="2" t="s">
        <v>18</v>
      </c>
      <c r="F130" s="21">
        <v>4.88</v>
      </c>
      <c r="G130" s="21" t="e">
        <f t="shared" ca="1" si="32"/>
        <v>#NAME?</v>
      </c>
      <c r="H130" s="21">
        <v>10</v>
      </c>
      <c r="I130" s="27" t="e">
        <f t="shared" ca="1" si="24"/>
        <v>#NAME?</v>
      </c>
      <c r="J130" s="27" t="e">
        <f t="shared" ca="1" si="25"/>
        <v>#NAME?</v>
      </c>
      <c r="K130" s="21" t="e">
        <f t="shared" ca="1" si="26"/>
        <v>#NAME?</v>
      </c>
      <c r="L130" s="2">
        <v>0.35678508788714275</v>
      </c>
      <c r="M130" s="47" t="e">
        <f t="shared" ca="1" si="33"/>
        <v>#NAME?</v>
      </c>
      <c r="N130" s="47" t="e">
        <f t="shared" ca="1" si="27"/>
        <v>#NAME?</v>
      </c>
      <c r="O130" s="47" t="e">
        <f t="shared" ca="1" si="34"/>
        <v>#NAME?</v>
      </c>
      <c r="P130" s="47" t="e">
        <f t="shared" ca="1" si="35"/>
        <v>#NAME?</v>
      </c>
      <c r="Q130" s="62" t="e">
        <f t="shared" ca="1" si="28"/>
        <v>#NAME?</v>
      </c>
      <c r="R130" s="62" t="e">
        <f t="shared" ca="1" si="29"/>
        <v>#NAME?</v>
      </c>
      <c r="Y130" s="24">
        <f t="shared" si="30"/>
        <v>-1.0974406779661017</v>
      </c>
      <c r="Z130" s="25">
        <f t="shared" si="31"/>
        <v>-100.42372881355934</v>
      </c>
    </row>
    <row r="131" spans="2:26" x14ac:dyDescent="0.2">
      <c r="B131" s="25">
        <v>150</v>
      </c>
      <c r="C131" s="21">
        <f t="shared" si="36"/>
        <v>1</v>
      </c>
      <c r="D131" s="2" t="s">
        <v>74</v>
      </c>
      <c r="E131" s="2" t="s">
        <v>18</v>
      </c>
      <c r="F131" s="21">
        <v>7.89</v>
      </c>
      <c r="G131" s="21" t="e">
        <f t="shared" ca="1" si="32"/>
        <v>#NAME?</v>
      </c>
      <c r="H131" s="21">
        <v>10</v>
      </c>
      <c r="I131" s="27" t="e">
        <f t="shared" ca="1" si="24"/>
        <v>#NAME?</v>
      </c>
      <c r="J131" s="27" t="e">
        <f t="shared" ca="1" si="25"/>
        <v>#NAME?</v>
      </c>
      <c r="K131" s="21" t="e">
        <f t="shared" ca="1" si="26"/>
        <v>#NAME?</v>
      </c>
      <c r="L131" s="2">
        <v>0.36797199062214969</v>
      </c>
      <c r="M131" s="47" t="e">
        <f t="shared" ca="1" si="33"/>
        <v>#NAME?</v>
      </c>
      <c r="N131" s="47" t="e">
        <f t="shared" ca="1" si="27"/>
        <v>#NAME?</v>
      </c>
      <c r="O131" s="47" t="e">
        <f t="shared" ca="1" si="34"/>
        <v>#NAME?</v>
      </c>
      <c r="P131" s="47" t="e">
        <f t="shared" ca="1" si="35"/>
        <v>#NAME?</v>
      </c>
      <c r="Q131" s="62" t="e">
        <f t="shared" ca="1" si="28"/>
        <v>#NAME?</v>
      </c>
      <c r="R131" s="62" t="e">
        <f t="shared" ca="1" si="29"/>
        <v>#NAME?</v>
      </c>
      <c r="Y131" s="24">
        <f t="shared" si="30"/>
        <v>-0.84744067796610167</v>
      </c>
      <c r="Z131" s="25">
        <f t="shared" si="31"/>
        <v>-100.42372881355934</v>
      </c>
    </row>
    <row r="132" spans="2:26" x14ac:dyDescent="0.2">
      <c r="B132" s="25">
        <v>150</v>
      </c>
      <c r="C132" s="21">
        <f t="shared" si="36"/>
        <v>1.25</v>
      </c>
      <c r="D132" s="2" t="s">
        <v>74</v>
      </c>
      <c r="E132" s="2" t="s">
        <v>18</v>
      </c>
      <c r="F132" s="21">
        <v>8.91</v>
      </c>
      <c r="G132" s="21" t="e">
        <f t="shared" ca="1" si="32"/>
        <v>#NAME?</v>
      </c>
      <c r="H132" s="21">
        <v>10</v>
      </c>
      <c r="I132" s="27" t="e">
        <f t="shared" ca="1" si="24"/>
        <v>#NAME?</v>
      </c>
      <c r="J132" s="27" t="e">
        <f t="shared" ca="1" si="25"/>
        <v>#NAME?</v>
      </c>
      <c r="K132" s="21" t="e">
        <f t="shared" ca="1" si="26"/>
        <v>#NAME?</v>
      </c>
      <c r="L132" s="2">
        <v>0.43773704356766374</v>
      </c>
      <c r="M132" s="47" t="e">
        <f t="shared" ca="1" si="33"/>
        <v>#NAME?</v>
      </c>
      <c r="N132" s="47" t="e">
        <f t="shared" ca="1" si="27"/>
        <v>#NAME?</v>
      </c>
      <c r="O132" s="47" t="e">
        <f t="shared" ca="1" si="34"/>
        <v>#NAME?</v>
      </c>
      <c r="P132" s="47" t="e">
        <f t="shared" ca="1" si="35"/>
        <v>#NAME?</v>
      </c>
      <c r="Q132" s="62" t="e">
        <f t="shared" ca="1" si="28"/>
        <v>#NAME?</v>
      </c>
      <c r="R132" s="62" t="e">
        <f t="shared" ca="1" si="29"/>
        <v>#NAME?</v>
      </c>
      <c r="Y132" s="24">
        <f t="shared" si="30"/>
        <v>-0.59744067796610167</v>
      </c>
      <c r="Z132" s="25">
        <f t="shared" si="31"/>
        <v>-100.42372881355934</v>
      </c>
    </row>
    <row r="133" spans="2:26" x14ac:dyDescent="0.2">
      <c r="B133" s="25">
        <v>150</v>
      </c>
      <c r="C133" s="21">
        <f t="shared" si="36"/>
        <v>1.5</v>
      </c>
      <c r="D133" s="2" t="s">
        <v>74</v>
      </c>
      <c r="E133" s="2" t="s">
        <v>18</v>
      </c>
      <c r="F133" s="21">
        <v>8.7899999999999991</v>
      </c>
      <c r="G133" s="21" t="e">
        <f t="shared" ca="1" si="32"/>
        <v>#NAME?</v>
      </c>
      <c r="H133" s="21">
        <v>10</v>
      </c>
      <c r="I133" s="27" t="e">
        <f t="shared" ca="1" si="24"/>
        <v>#NAME?</v>
      </c>
      <c r="J133" s="27" t="e">
        <f t="shared" ca="1" si="25"/>
        <v>#NAME?</v>
      </c>
      <c r="K133" s="21" t="e">
        <f t="shared" ca="1" si="26"/>
        <v>#NAME?</v>
      </c>
      <c r="L133" s="2">
        <v>0.61185413421485713</v>
      </c>
      <c r="M133" s="47" t="e">
        <f t="shared" ca="1" si="33"/>
        <v>#NAME?</v>
      </c>
      <c r="N133" s="47" t="e">
        <f t="shared" ca="1" si="27"/>
        <v>#NAME?</v>
      </c>
      <c r="O133" s="47" t="e">
        <f t="shared" ca="1" si="34"/>
        <v>#NAME?</v>
      </c>
      <c r="P133" s="47" t="e">
        <f t="shared" ca="1" si="35"/>
        <v>#NAME?</v>
      </c>
      <c r="Q133" s="62" t="e">
        <f t="shared" ca="1" si="28"/>
        <v>#NAME?</v>
      </c>
      <c r="R133" s="62" t="e">
        <f t="shared" ca="1" si="29"/>
        <v>#NAME?</v>
      </c>
      <c r="Y133" s="24">
        <f t="shared" si="30"/>
        <v>-0.34744067796610167</v>
      </c>
      <c r="Z133" s="25">
        <f t="shared" si="31"/>
        <v>-100.42372881355934</v>
      </c>
    </row>
    <row r="134" spans="2:26" x14ac:dyDescent="0.2">
      <c r="B134" s="25">
        <v>150</v>
      </c>
      <c r="C134" s="21">
        <f t="shared" si="36"/>
        <v>1.75</v>
      </c>
      <c r="D134" s="2" t="s">
        <v>74</v>
      </c>
      <c r="E134" s="2" t="s">
        <v>18</v>
      </c>
      <c r="F134" s="21">
        <v>5.8</v>
      </c>
      <c r="G134" s="21" t="e">
        <f t="shared" ca="1" si="32"/>
        <v>#NAME?</v>
      </c>
      <c r="H134" s="21">
        <v>10</v>
      </c>
      <c r="I134" s="27" t="e">
        <f t="shared" ca="1" si="24"/>
        <v>#NAME?</v>
      </c>
      <c r="J134" s="27" t="e">
        <f t="shared" ca="1" si="25"/>
        <v>#NAME?</v>
      </c>
      <c r="K134" s="21" t="e">
        <f t="shared" ca="1" si="26"/>
        <v>#NAME?</v>
      </c>
      <c r="L134" s="2">
        <v>0.94024216801696969</v>
      </c>
      <c r="M134" s="47" t="e">
        <f t="shared" ca="1" si="33"/>
        <v>#NAME?</v>
      </c>
      <c r="N134" s="47" t="e">
        <f t="shared" ca="1" si="27"/>
        <v>#NAME?</v>
      </c>
      <c r="O134" s="47" t="e">
        <f t="shared" ca="1" si="34"/>
        <v>#NAME?</v>
      </c>
      <c r="P134" s="47" t="e">
        <f t="shared" ca="1" si="35"/>
        <v>#NAME?</v>
      </c>
      <c r="Q134" s="62" t="e">
        <f t="shared" ca="1" si="28"/>
        <v>#NAME?</v>
      </c>
      <c r="R134" s="62" t="e">
        <f t="shared" ca="1" si="29"/>
        <v>#NAME?</v>
      </c>
      <c r="Y134" s="24">
        <f t="shared" si="30"/>
        <v>-9.7440677966101674E-2</v>
      </c>
      <c r="Z134" s="25">
        <f t="shared" si="31"/>
        <v>-100.42372881355934</v>
      </c>
    </row>
    <row r="135" spans="2:26" x14ac:dyDescent="0.2">
      <c r="B135" s="25">
        <v>150</v>
      </c>
      <c r="C135" s="21">
        <v>1.9990000000000001</v>
      </c>
      <c r="D135" s="2" t="s">
        <v>74</v>
      </c>
      <c r="E135" s="2" t="s">
        <v>18</v>
      </c>
      <c r="F135" s="21">
        <v>3.37</v>
      </c>
      <c r="G135" s="21" t="e">
        <f t="shared" ca="1" si="32"/>
        <v>#NAME?</v>
      </c>
      <c r="H135" s="21">
        <v>10</v>
      </c>
      <c r="I135" s="27" t="e">
        <f t="shared" ca="1" si="24"/>
        <v>#NAME?</v>
      </c>
      <c r="J135" s="27" t="e">
        <f t="shared" ca="1" si="25"/>
        <v>#NAME?</v>
      </c>
      <c r="K135" s="21" t="e">
        <f t="shared" ca="1" si="26"/>
        <v>#NAME?</v>
      </c>
      <c r="L135" s="2">
        <v>1.4772604214710565</v>
      </c>
      <c r="M135" s="47" t="e">
        <f t="shared" ca="1" si="33"/>
        <v>#NAME?</v>
      </c>
      <c r="N135" s="47" t="e">
        <f t="shared" ca="1" si="27"/>
        <v>#NAME?</v>
      </c>
      <c r="O135" s="47" t="e">
        <f t="shared" ca="1" si="34"/>
        <v>#NAME?</v>
      </c>
      <c r="P135" s="47" t="e">
        <f t="shared" ca="1" si="35"/>
        <v>#NAME?</v>
      </c>
      <c r="Q135" s="62" t="e">
        <f t="shared" ca="1" si="28"/>
        <v>#NAME?</v>
      </c>
      <c r="R135" s="62" t="e">
        <f t="shared" ca="1" si="29"/>
        <v>#NAME?</v>
      </c>
      <c r="Y135" s="24">
        <f t="shared" si="30"/>
        <v>0.15155932203389844</v>
      </c>
      <c r="Z135" s="25">
        <f t="shared" si="31"/>
        <v>-100.42372881355934</v>
      </c>
    </row>
    <row r="136" spans="2:26" x14ac:dyDescent="0.2">
      <c r="B136" s="25">
        <v>300</v>
      </c>
      <c r="C136" s="21">
        <v>0</v>
      </c>
      <c r="D136" s="2" t="s">
        <v>74</v>
      </c>
      <c r="E136" s="2" t="s">
        <v>18</v>
      </c>
      <c r="F136" s="21">
        <v>1E-3</v>
      </c>
      <c r="G136" s="21" t="e">
        <f t="shared" ca="1" si="32"/>
        <v>#NAME?</v>
      </c>
      <c r="H136" s="21">
        <v>10</v>
      </c>
      <c r="I136" s="27" t="e">
        <f t="shared" ca="1" si="24"/>
        <v>#NAME?</v>
      </c>
      <c r="J136" s="27" t="e">
        <f t="shared" ca="1" si="25"/>
        <v>#NAME?</v>
      </c>
      <c r="K136" s="21" t="e">
        <f t="shared" ca="1" si="26"/>
        <v>#NAME?</v>
      </c>
      <c r="L136" s="2">
        <v>0</v>
      </c>
      <c r="M136" s="47" t="e">
        <f t="shared" ca="1" si="33"/>
        <v>#NAME?</v>
      </c>
      <c r="N136" s="47" t="e">
        <f t="shared" ca="1" si="27"/>
        <v>#NAME?</v>
      </c>
      <c r="O136" s="47" t="e">
        <f t="shared" ca="1" si="34"/>
        <v>#NAME?</v>
      </c>
      <c r="P136" s="47" t="e">
        <f t="shared" ca="1" si="35"/>
        <v>#NAME?</v>
      </c>
      <c r="Q136" s="62" t="e">
        <f t="shared" ca="1" si="28"/>
        <v>#NAME?</v>
      </c>
      <c r="R136" s="62" t="e">
        <f t="shared" ca="1" si="29"/>
        <v>#NAME?</v>
      </c>
      <c r="Y136" s="24">
        <f t="shared" si="30"/>
        <v>-1.8474406779661017</v>
      </c>
      <c r="Z136" s="25">
        <f t="shared" si="31"/>
        <v>49.576271186440664</v>
      </c>
    </row>
    <row r="137" spans="2:26" x14ac:dyDescent="0.2">
      <c r="B137" s="25">
        <v>300</v>
      </c>
      <c r="C137" s="21">
        <f t="shared" ref="C137:C143" si="37">C136+0.25</f>
        <v>0.25</v>
      </c>
      <c r="D137" s="2" t="s">
        <v>74</v>
      </c>
      <c r="E137" s="2" t="s">
        <v>18</v>
      </c>
      <c r="F137" s="21">
        <v>1E-3</v>
      </c>
      <c r="G137" s="21" t="e">
        <f t="shared" ca="1" si="32"/>
        <v>#NAME?</v>
      </c>
      <c r="H137" s="21">
        <v>10</v>
      </c>
      <c r="I137" s="27" t="e">
        <f t="shared" ca="1" si="24"/>
        <v>#NAME?</v>
      </c>
      <c r="J137" s="27" t="e">
        <f t="shared" ca="1" si="25"/>
        <v>#NAME?</v>
      </c>
      <c r="K137" s="21" t="e">
        <f t="shared" ca="1" si="26"/>
        <v>#NAME?</v>
      </c>
      <c r="L137" s="2">
        <v>1.9840534611694687</v>
      </c>
      <c r="M137" s="47" t="e">
        <f t="shared" ca="1" si="33"/>
        <v>#NAME?</v>
      </c>
      <c r="N137" s="47" t="e">
        <f t="shared" ca="1" si="27"/>
        <v>#NAME?</v>
      </c>
      <c r="O137" s="47" t="e">
        <f t="shared" ca="1" si="34"/>
        <v>#NAME?</v>
      </c>
      <c r="P137" s="47" t="e">
        <f t="shared" ca="1" si="35"/>
        <v>#NAME?</v>
      </c>
      <c r="Q137" s="62" t="e">
        <f t="shared" ca="1" si="28"/>
        <v>#NAME?</v>
      </c>
      <c r="R137" s="62" t="e">
        <f t="shared" ca="1" si="29"/>
        <v>#NAME?</v>
      </c>
      <c r="Y137" s="24">
        <f t="shared" si="30"/>
        <v>-1.5974406779661017</v>
      </c>
      <c r="Z137" s="25">
        <f t="shared" si="31"/>
        <v>49.576271186440664</v>
      </c>
    </row>
    <row r="138" spans="2:26" x14ac:dyDescent="0.2">
      <c r="B138" s="25">
        <v>300</v>
      </c>
      <c r="C138" s="21">
        <f t="shared" si="37"/>
        <v>0.5</v>
      </c>
      <c r="D138" s="2" t="s">
        <v>74</v>
      </c>
      <c r="E138" s="2" t="s">
        <v>18</v>
      </c>
      <c r="F138" s="21">
        <v>0.01</v>
      </c>
      <c r="G138" s="21" t="e">
        <f t="shared" ca="1" si="32"/>
        <v>#NAME?</v>
      </c>
      <c r="H138" s="21">
        <v>10</v>
      </c>
      <c r="I138" s="27" t="e">
        <f t="shared" ca="1" si="24"/>
        <v>#NAME?</v>
      </c>
      <c r="J138" s="27" t="e">
        <f t="shared" ca="1" si="25"/>
        <v>#NAME?</v>
      </c>
      <c r="K138" s="21" t="e">
        <f t="shared" ca="1" si="26"/>
        <v>#NAME?</v>
      </c>
      <c r="L138" s="2">
        <v>1.9204331038278382</v>
      </c>
      <c r="M138" s="47" t="e">
        <f t="shared" ca="1" si="33"/>
        <v>#NAME?</v>
      </c>
      <c r="N138" s="47" t="e">
        <f t="shared" ca="1" si="27"/>
        <v>#NAME?</v>
      </c>
      <c r="O138" s="47" t="e">
        <f t="shared" ca="1" si="34"/>
        <v>#NAME?</v>
      </c>
      <c r="P138" s="47" t="e">
        <f t="shared" ca="1" si="35"/>
        <v>#NAME?</v>
      </c>
      <c r="Q138" s="62" t="e">
        <f t="shared" ca="1" si="28"/>
        <v>#NAME?</v>
      </c>
      <c r="R138" s="62" t="e">
        <f t="shared" ca="1" si="29"/>
        <v>#NAME?</v>
      </c>
      <c r="Y138" s="24">
        <f t="shared" si="30"/>
        <v>-1.3474406779661017</v>
      </c>
      <c r="Z138" s="25">
        <f t="shared" si="31"/>
        <v>49.576271186440664</v>
      </c>
    </row>
    <row r="139" spans="2:26" x14ac:dyDescent="0.2">
      <c r="B139" s="25">
        <v>300</v>
      </c>
      <c r="C139" s="21">
        <f t="shared" si="37"/>
        <v>0.75</v>
      </c>
      <c r="D139" s="2" t="s">
        <v>74</v>
      </c>
      <c r="E139" s="2" t="s">
        <v>18</v>
      </c>
      <c r="F139" s="21">
        <v>0.04</v>
      </c>
      <c r="G139" s="21" t="e">
        <f t="shared" ca="1" si="32"/>
        <v>#NAME?</v>
      </c>
      <c r="H139" s="21">
        <v>10</v>
      </c>
      <c r="I139" s="27" t="e">
        <f t="shared" ca="1" si="24"/>
        <v>#NAME?</v>
      </c>
      <c r="J139" s="27" t="e">
        <f t="shared" ca="1" si="25"/>
        <v>#NAME?</v>
      </c>
      <c r="K139" s="21" t="e">
        <f t="shared" ca="1" si="26"/>
        <v>#NAME?</v>
      </c>
      <c r="L139" s="2">
        <v>1.8429003515641695</v>
      </c>
      <c r="M139" s="47" t="e">
        <f t="shared" ca="1" si="33"/>
        <v>#NAME?</v>
      </c>
      <c r="N139" s="47" t="e">
        <f t="shared" ca="1" si="27"/>
        <v>#NAME?</v>
      </c>
      <c r="O139" s="47" t="e">
        <f t="shared" ca="1" si="34"/>
        <v>#NAME?</v>
      </c>
      <c r="P139" s="47" t="e">
        <f t="shared" ca="1" si="35"/>
        <v>#NAME?</v>
      </c>
      <c r="Q139" s="62" t="e">
        <f t="shared" ca="1" si="28"/>
        <v>#NAME?</v>
      </c>
      <c r="R139" s="62" t="e">
        <f t="shared" ca="1" si="29"/>
        <v>#NAME?</v>
      </c>
      <c r="Y139" s="24">
        <f t="shared" si="30"/>
        <v>-1.0974406779661017</v>
      </c>
      <c r="Z139" s="25">
        <f t="shared" si="31"/>
        <v>49.576271186440664</v>
      </c>
    </row>
    <row r="140" spans="2:26" x14ac:dyDescent="0.2">
      <c r="B140" s="25">
        <v>300</v>
      </c>
      <c r="C140" s="21">
        <f t="shared" si="37"/>
        <v>1</v>
      </c>
      <c r="D140" s="2" t="s">
        <v>74</v>
      </c>
      <c r="E140" s="2" t="s">
        <v>18</v>
      </c>
      <c r="F140" s="21">
        <v>0.12</v>
      </c>
      <c r="G140" s="21" t="e">
        <f t="shared" ca="1" si="32"/>
        <v>#NAME?</v>
      </c>
      <c r="H140" s="21">
        <v>10</v>
      </c>
      <c r="I140" s="27" t="e">
        <f t="shared" ca="1" si="24"/>
        <v>#NAME?</v>
      </c>
      <c r="J140" s="27" t="e">
        <f t="shared" ca="1" si="25"/>
        <v>#NAME?</v>
      </c>
      <c r="K140" s="21" t="e">
        <f t="shared" ca="1" si="26"/>
        <v>#NAME?</v>
      </c>
      <c r="L140" s="2">
        <v>1.7690468675593507</v>
      </c>
      <c r="M140" s="47" t="e">
        <f t="shared" ca="1" si="33"/>
        <v>#NAME?</v>
      </c>
      <c r="N140" s="47" t="e">
        <f t="shared" ca="1" si="27"/>
        <v>#NAME?</v>
      </c>
      <c r="O140" s="47" t="e">
        <f t="shared" ca="1" si="34"/>
        <v>#NAME?</v>
      </c>
      <c r="P140" s="47" t="e">
        <f t="shared" ca="1" si="35"/>
        <v>#NAME?</v>
      </c>
      <c r="Q140" s="62" t="e">
        <f t="shared" ca="1" si="28"/>
        <v>#NAME?</v>
      </c>
      <c r="R140" s="62" t="e">
        <f t="shared" ca="1" si="29"/>
        <v>#NAME?</v>
      </c>
      <c r="Y140" s="24">
        <f t="shared" si="30"/>
        <v>-0.84744067796610167</v>
      </c>
      <c r="Z140" s="25">
        <f t="shared" si="31"/>
        <v>49.576271186440664</v>
      </c>
    </row>
    <row r="141" spans="2:26" x14ac:dyDescent="0.2">
      <c r="B141" s="25">
        <v>300</v>
      </c>
      <c r="C141" s="21">
        <f t="shared" si="37"/>
        <v>1.25</v>
      </c>
      <c r="D141" s="2" t="s">
        <v>74</v>
      </c>
      <c r="E141" s="2" t="s">
        <v>18</v>
      </c>
      <c r="F141" s="21">
        <v>0.24</v>
      </c>
      <c r="G141" s="21" t="e">
        <f t="shared" ca="1" si="32"/>
        <v>#NAME?</v>
      </c>
      <c r="H141" s="21">
        <v>10</v>
      </c>
      <c r="I141" s="27" t="e">
        <f t="shared" ca="1" si="24"/>
        <v>#NAME?</v>
      </c>
      <c r="J141" s="27" t="e">
        <f t="shared" ca="1" si="25"/>
        <v>#NAME?</v>
      </c>
      <c r="K141" s="21" t="e">
        <f t="shared" ca="1" si="26"/>
        <v>#NAME?</v>
      </c>
      <c r="L141" s="2">
        <v>1.7027168393070664</v>
      </c>
      <c r="M141" s="47" t="e">
        <f t="shared" ca="1" si="33"/>
        <v>#NAME?</v>
      </c>
      <c r="N141" s="47" t="e">
        <f t="shared" ca="1" si="27"/>
        <v>#NAME?</v>
      </c>
      <c r="O141" s="47" t="e">
        <f t="shared" ca="1" si="34"/>
        <v>#NAME?</v>
      </c>
      <c r="P141" s="47" t="e">
        <f t="shared" ca="1" si="35"/>
        <v>#NAME?</v>
      </c>
      <c r="Q141" s="62" t="e">
        <f t="shared" ca="1" si="28"/>
        <v>#NAME?</v>
      </c>
      <c r="R141" s="62" t="e">
        <f t="shared" ca="1" si="29"/>
        <v>#NAME?</v>
      </c>
      <c r="Y141" s="24">
        <f t="shared" si="30"/>
        <v>-0.59744067796610167</v>
      </c>
      <c r="Z141" s="25">
        <f t="shared" si="31"/>
        <v>49.576271186440664</v>
      </c>
    </row>
    <row r="142" spans="2:26" x14ac:dyDescent="0.2">
      <c r="B142" s="25">
        <v>300</v>
      </c>
      <c r="C142" s="21">
        <f t="shared" si="37"/>
        <v>1.5</v>
      </c>
      <c r="D142" s="2" t="s">
        <v>74</v>
      </c>
      <c r="E142" s="2" t="s">
        <v>18</v>
      </c>
      <c r="F142" s="21">
        <v>0.49</v>
      </c>
      <c r="G142" s="21" t="e">
        <f t="shared" ca="1" si="32"/>
        <v>#NAME?</v>
      </c>
      <c r="H142" s="21">
        <v>10</v>
      </c>
      <c r="I142" s="27" t="e">
        <f t="shared" ca="1" si="24"/>
        <v>#NAME?</v>
      </c>
      <c r="J142" s="27" t="e">
        <f t="shared" ca="1" si="25"/>
        <v>#NAME?</v>
      </c>
      <c r="K142" s="21" t="e">
        <f t="shared" ca="1" si="26"/>
        <v>#NAME?</v>
      </c>
      <c r="L142" s="2">
        <v>1.6509320532808194</v>
      </c>
      <c r="M142" s="47" t="e">
        <f t="shared" ca="1" si="33"/>
        <v>#NAME?</v>
      </c>
      <c r="N142" s="47" t="e">
        <f t="shared" ca="1" si="27"/>
        <v>#NAME?</v>
      </c>
      <c r="O142" s="47" t="e">
        <f t="shared" ca="1" si="34"/>
        <v>#NAME?</v>
      </c>
      <c r="P142" s="47" t="e">
        <f t="shared" ca="1" si="35"/>
        <v>#NAME?</v>
      </c>
      <c r="Q142" s="62" t="e">
        <f t="shared" ca="1" si="28"/>
        <v>#NAME?</v>
      </c>
      <c r="R142" s="62" t="e">
        <f t="shared" ca="1" si="29"/>
        <v>#NAME?</v>
      </c>
      <c r="Y142" s="24">
        <f t="shared" si="30"/>
        <v>-0.34744067796610167</v>
      </c>
      <c r="Z142" s="25">
        <f t="shared" si="31"/>
        <v>49.576271186440664</v>
      </c>
    </row>
    <row r="143" spans="2:26" x14ac:dyDescent="0.2">
      <c r="B143" s="25">
        <v>300</v>
      </c>
      <c r="C143" s="21">
        <f t="shared" si="37"/>
        <v>1.75</v>
      </c>
      <c r="D143" s="2" t="s">
        <v>74</v>
      </c>
      <c r="E143" s="2" t="s">
        <v>18</v>
      </c>
      <c r="F143" s="21">
        <v>0.83</v>
      </c>
      <c r="G143" s="21" t="e">
        <f t="shared" ca="1" si="32"/>
        <v>#NAME?</v>
      </c>
      <c r="H143" s="21">
        <v>10</v>
      </c>
      <c r="I143" s="27" t="e">
        <f t="shared" ca="1" si="24"/>
        <v>#NAME?</v>
      </c>
      <c r="J143" s="27" t="e">
        <f t="shared" ca="1" si="25"/>
        <v>#NAME?</v>
      </c>
      <c r="K143" s="21" t="e">
        <f t="shared" ca="1" si="26"/>
        <v>#NAME?</v>
      </c>
      <c r="L143" s="2">
        <v>1.6235704466522005</v>
      </c>
      <c r="M143" s="47" t="e">
        <f t="shared" ca="1" si="33"/>
        <v>#NAME?</v>
      </c>
      <c r="N143" s="47" t="e">
        <f t="shared" ca="1" si="27"/>
        <v>#NAME?</v>
      </c>
      <c r="O143" s="47" t="e">
        <f t="shared" ca="1" si="34"/>
        <v>#NAME?</v>
      </c>
      <c r="P143" s="47" t="e">
        <f t="shared" ca="1" si="35"/>
        <v>#NAME?</v>
      </c>
      <c r="Q143" s="62" t="e">
        <f t="shared" ca="1" si="28"/>
        <v>#NAME?</v>
      </c>
      <c r="R143" s="62" t="e">
        <f t="shared" ca="1" si="29"/>
        <v>#NAME?</v>
      </c>
      <c r="Y143" s="24">
        <f t="shared" si="30"/>
        <v>-9.7440677966101674E-2</v>
      </c>
      <c r="Z143" s="25">
        <f t="shared" si="31"/>
        <v>49.576271186440664</v>
      </c>
    </row>
    <row r="144" spans="2:26" x14ac:dyDescent="0.2">
      <c r="B144" s="25">
        <v>300</v>
      </c>
      <c r="C144" s="21">
        <v>1.9990000000000001</v>
      </c>
      <c r="D144" s="2" t="s">
        <v>74</v>
      </c>
      <c r="E144" s="2" t="s">
        <v>18</v>
      </c>
      <c r="F144" s="21">
        <v>1.4</v>
      </c>
      <c r="G144" s="21" t="e">
        <f t="shared" ca="1" si="32"/>
        <v>#NAME?</v>
      </c>
      <c r="H144" s="21">
        <v>10</v>
      </c>
      <c r="I144" s="27" t="e">
        <f t="shared" ca="1" si="24"/>
        <v>#NAME?</v>
      </c>
      <c r="J144" s="27" t="e">
        <f t="shared" ca="1" si="25"/>
        <v>#NAME?</v>
      </c>
      <c r="K144" s="21" t="e">
        <f t="shared" ca="1" si="26"/>
        <v>#NAME?</v>
      </c>
      <c r="L144" s="2">
        <v>1.6331012184844134</v>
      </c>
      <c r="M144" s="47" t="e">
        <f t="shared" ca="1" si="33"/>
        <v>#NAME?</v>
      </c>
      <c r="N144" s="47" t="e">
        <f t="shared" ca="1" si="27"/>
        <v>#NAME?</v>
      </c>
      <c r="O144" s="47" t="e">
        <f t="shared" ca="1" si="34"/>
        <v>#NAME?</v>
      </c>
      <c r="P144" s="47" t="e">
        <f t="shared" ca="1" si="35"/>
        <v>#NAME?</v>
      </c>
      <c r="Q144" s="62" t="e">
        <f t="shared" ca="1" si="28"/>
        <v>#NAME?</v>
      </c>
      <c r="R144" s="62" t="e">
        <f t="shared" ca="1" si="29"/>
        <v>#NAME?</v>
      </c>
      <c r="Y144" s="24">
        <f t="shared" si="30"/>
        <v>0.15155932203389844</v>
      </c>
      <c r="Z144" s="25">
        <f t="shared" si="31"/>
        <v>49.576271186440664</v>
      </c>
    </row>
    <row r="145" spans="1:18" x14ac:dyDescent="0.2">
      <c r="A145" s="65" t="s">
        <v>113</v>
      </c>
      <c r="B145" s="66">
        <v>500</v>
      </c>
      <c r="C145" s="67">
        <v>1.9990000000000001</v>
      </c>
      <c r="D145" s="68" t="s">
        <v>74</v>
      </c>
      <c r="E145" s="69" t="s">
        <v>17</v>
      </c>
      <c r="F145" s="67">
        <v>1E-3</v>
      </c>
      <c r="G145" s="67" t="e">
        <f ca="1">1000*D$3*MAX(D$23,cde(C145,B145,9999,C$12,C$13,C$14,C$15,C$17,E145,C$18,C$19))</f>
        <v>#NAME?</v>
      </c>
      <c r="H145" s="70">
        <v>10000000000</v>
      </c>
      <c r="I145" s="71" t="e">
        <f t="shared" ca="1" si="24"/>
        <v>#NAME?</v>
      </c>
      <c r="J145" s="71" t="e">
        <f t="shared" ca="1" si="25"/>
        <v>#NAME?</v>
      </c>
      <c r="K145" s="67" t="e">
        <f t="shared" ca="1" si="26"/>
        <v>#NAME?</v>
      </c>
      <c r="L145" s="68">
        <v>1.0733424848893667</v>
      </c>
      <c r="M145" s="72" t="e">
        <f t="shared" ca="1" si="33"/>
        <v>#NAME?</v>
      </c>
      <c r="N145" s="72" t="e">
        <f t="shared" ref="N145:N146" ca="1" si="38">SQRT(L145)+SQRT(M145)</f>
        <v>#NAME?</v>
      </c>
      <c r="O145" s="72" t="e">
        <f t="shared" ca="1" si="34"/>
        <v>#NAME?</v>
      </c>
      <c r="P145" s="72" t="e">
        <f t="shared" ca="1" si="35"/>
        <v>#NAME?</v>
      </c>
      <c r="Q145" s="73" t="e">
        <f t="shared" ca="1" si="28"/>
        <v>#NAME?</v>
      </c>
      <c r="R145" s="73" t="e">
        <f t="shared" ca="1" si="29"/>
        <v>#NAME?</v>
      </c>
    </row>
    <row r="146" spans="1:18" x14ac:dyDescent="0.2">
      <c r="A146" s="65" t="s">
        <v>114</v>
      </c>
      <c r="B146" s="66">
        <v>500</v>
      </c>
      <c r="C146" s="67">
        <v>1.9990000000000001</v>
      </c>
      <c r="D146" s="68" t="s">
        <v>74</v>
      </c>
      <c r="E146" s="69" t="s">
        <v>17</v>
      </c>
      <c r="F146" s="67">
        <v>1E-3</v>
      </c>
      <c r="G146" s="67" t="e">
        <f ca="1">1000*D$3*MAX(D$23,cde(C146,B146,9999,C$12*5/1.2,C$13,C$14,C$15,C$17,E146,C$18,50))</f>
        <v>#NAME?</v>
      </c>
      <c r="H146" s="70">
        <v>10000000000</v>
      </c>
      <c r="I146" s="71" t="e">
        <f t="shared" ca="1" si="24"/>
        <v>#NAME?</v>
      </c>
      <c r="J146" s="71" t="e">
        <f t="shared" ca="1" si="25"/>
        <v>#NAME?</v>
      </c>
      <c r="K146" s="67" t="e">
        <f t="shared" ca="1" si="26"/>
        <v>#NAME?</v>
      </c>
      <c r="L146" s="68">
        <v>8.0606912753014195E-2</v>
      </c>
      <c r="M146" s="72" t="e">
        <f t="shared" ca="1" si="33"/>
        <v>#NAME?</v>
      </c>
      <c r="N146" s="72" t="e">
        <f t="shared" ca="1" si="38"/>
        <v>#NAME?</v>
      </c>
      <c r="O146" s="72" t="e">
        <f t="shared" ca="1" si="34"/>
        <v>#NAME?</v>
      </c>
      <c r="P146" s="72" t="e">
        <f t="shared" ca="1" si="35"/>
        <v>#NAME?</v>
      </c>
      <c r="Q146" s="73" t="e">
        <f t="shared" ca="1" si="28"/>
        <v>#NAME?</v>
      </c>
      <c r="R146" s="73" t="e">
        <f t="shared" ca="1" si="29"/>
        <v>#NAME?</v>
      </c>
    </row>
    <row r="147" spans="1:18" x14ac:dyDescent="0.2">
      <c r="B147" s="26"/>
      <c r="F147" s="21"/>
      <c r="G147" s="20"/>
      <c r="L147" s="2"/>
      <c r="M147" s="2"/>
      <c r="N147" s="2"/>
      <c r="O147" s="2"/>
      <c r="P147" s="2"/>
    </row>
    <row r="148" spans="1:18" x14ac:dyDescent="0.2">
      <c r="B148" s="26"/>
      <c r="F148" s="21"/>
      <c r="G148" s="20"/>
      <c r="L148" s="2"/>
      <c r="M148" s="2"/>
      <c r="N148" s="2"/>
      <c r="O148" s="2"/>
      <c r="P148" s="2"/>
    </row>
    <row r="149" spans="1:18" x14ac:dyDescent="0.2">
      <c r="B149" s="26"/>
      <c r="F149" s="21"/>
      <c r="G149" s="20"/>
      <c r="L149" s="2"/>
      <c r="M149" s="2"/>
      <c r="N149" s="2"/>
      <c r="O149" s="2"/>
      <c r="P149" s="2"/>
    </row>
    <row r="150" spans="1:18" x14ac:dyDescent="0.2">
      <c r="B150" s="26"/>
      <c r="F150" s="21"/>
      <c r="G150" s="20"/>
      <c r="L150" s="2"/>
      <c r="M150" s="2"/>
      <c r="N150" s="2"/>
      <c r="O150" s="2"/>
      <c r="P150" s="2"/>
    </row>
    <row r="151" spans="1:18" x14ac:dyDescent="0.2">
      <c r="B151" s="26"/>
      <c r="F151" s="21"/>
      <c r="G151" s="20"/>
      <c r="L151" s="2"/>
      <c r="M151" s="2"/>
      <c r="N151" s="2"/>
      <c r="O151" s="2"/>
      <c r="P151" s="2"/>
    </row>
    <row r="152" spans="1:18" x14ac:dyDescent="0.2">
      <c r="B152" s="26"/>
      <c r="F152" s="21"/>
      <c r="G152" s="20"/>
      <c r="L152" s="2"/>
      <c r="M152" s="2"/>
      <c r="N152" s="2"/>
      <c r="O152" s="2"/>
      <c r="P152" s="2"/>
    </row>
    <row r="153" spans="1:18" x14ac:dyDescent="0.2">
      <c r="B153" s="26"/>
      <c r="F153" s="21"/>
      <c r="G153" s="20"/>
      <c r="L153" s="2"/>
      <c r="M153" s="2"/>
      <c r="N153" s="2"/>
      <c r="O153" s="2"/>
      <c r="P153" s="2"/>
    </row>
    <row r="154" spans="1:18" x14ac:dyDescent="0.2">
      <c r="B154" s="26"/>
      <c r="F154" s="21"/>
      <c r="G154" s="20"/>
      <c r="L154" s="2"/>
      <c r="M154" s="2"/>
      <c r="N154" s="2"/>
      <c r="O154" s="2"/>
      <c r="P154" s="2"/>
    </row>
    <row r="155" spans="1:18" x14ac:dyDescent="0.2">
      <c r="B155" s="26"/>
      <c r="F155" s="21"/>
      <c r="G155" s="20"/>
      <c r="L155" s="2"/>
      <c r="M155" s="2"/>
      <c r="N155" s="2"/>
      <c r="O155" s="2"/>
      <c r="P155" s="2"/>
    </row>
    <row r="156" spans="1:18" x14ac:dyDescent="0.2">
      <c r="B156" s="26"/>
      <c r="F156" s="21"/>
      <c r="G156" s="20"/>
      <c r="L156" s="2"/>
      <c r="M156" s="2"/>
      <c r="N156" s="2"/>
      <c r="O156" s="2"/>
      <c r="P156" s="2"/>
    </row>
    <row r="157" spans="1:18" x14ac:dyDescent="0.2">
      <c r="B157" s="26"/>
      <c r="F157" s="21"/>
      <c r="L157" s="2"/>
      <c r="M157" s="2"/>
      <c r="N157" s="2"/>
      <c r="O157" s="2"/>
      <c r="P157" s="2"/>
    </row>
    <row r="158" spans="1:18" x14ac:dyDescent="0.2">
      <c r="B158" s="26"/>
      <c r="F158" s="21"/>
      <c r="L158" s="2"/>
      <c r="M158" s="2"/>
      <c r="N158" s="2"/>
      <c r="O158" s="2"/>
      <c r="P158" s="2"/>
    </row>
    <row r="159" spans="1:18" x14ac:dyDescent="0.2">
      <c r="B159" s="26"/>
      <c r="F159" s="21"/>
      <c r="L159" s="2"/>
      <c r="M159" s="2"/>
      <c r="N159" s="2"/>
      <c r="O159" s="2"/>
      <c r="P159" s="2"/>
    </row>
    <row r="160" spans="1:18" x14ac:dyDescent="0.2">
      <c r="B160" s="26"/>
      <c r="F160" s="21"/>
      <c r="L160" s="2"/>
      <c r="M160" s="2"/>
      <c r="N160" s="2"/>
      <c r="O160" s="2"/>
      <c r="P160" s="2"/>
    </row>
    <row r="161" spans="2:16" x14ac:dyDescent="0.2">
      <c r="B161" s="26"/>
      <c r="F161" s="21"/>
      <c r="L161" s="2"/>
      <c r="M161" s="2"/>
      <c r="N161" s="2"/>
      <c r="O161" s="2"/>
      <c r="P161" s="2"/>
    </row>
    <row r="162" spans="2:16" x14ac:dyDescent="0.2">
      <c r="B162" s="26"/>
      <c r="F162" s="21"/>
      <c r="L162" s="2"/>
      <c r="M162" s="2"/>
      <c r="N162" s="2"/>
      <c r="O162" s="2"/>
      <c r="P162" s="2"/>
    </row>
    <row r="163" spans="2:16" x14ac:dyDescent="0.2">
      <c r="B163" s="26"/>
      <c r="F163" s="21"/>
      <c r="L163" s="2"/>
      <c r="M163" s="2"/>
      <c r="N163" s="2"/>
      <c r="O163" s="2"/>
      <c r="P163" s="2"/>
    </row>
    <row r="164" spans="2:16" x14ac:dyDescent="0.2">
      <c r="B164" s="26"/>
      <c r="F164" s="21"/>
      <c r="L164" s="2"/>
      <c r="M164" s="2"/>
      <c r="N164" s="2"/>
      <c r="O164" s="2"/>
      <c r="P164" s="2"/>
    </row>
    <row r="165" spans="2:16" x14ac:dyDescent="0.2">
      <c r="B165" s="26"/>
      <c r="E165" s="21"/>
      <c r="L165" s="2"/>
      <c r="M165" s="2"/>
      <c r="N165" s="2"/>
      <c r="O165" s="2"/>
      <c r="P165" s="2"/>
    </row>
    <row r="166" spans="2:16" x14ac:dyDescent="0.2">
      <c r="B166" s="26"/>
      <c r="E166" s="21"/>
      <c r="L166" s="2"/>
      <c r="M166" s="2"/>
      <c r="N166" s="2"/>
      <c r="O166" s="2"/>
      <c r="P166" s="2"/>
    </row>
    <row r="167" spans="2:16" x14ac:dyDescent="0.2">
      <c r="E167" s="21"/>
      <c r="L167" s="2"/>
      <c r="M167" s="2"/>
      <c r="N167" s="2"/>
      <c r="O167" s="2"/>
      <c r="P167" s="2"/>
    </row>
    <row r="168" spans="2:16" x14ac:dyDescent="0.2">
      <c r="E168" s="21"/>
      <c r="L168" s="2"/>
      <c r="M168" s="2"/>
      <c r="N168" s="2"/>
      <c r="O168" s="2"/>
      <c r="P168" s="2"/>
    </row>
    <row r="169" spans="2:16" x14ac:dyDescent="0.2">
      <c r="E169" s="21"/>
      <c r="L169" s="2"/>
      <c r="M169" s="2"/>
      <c r="N169" s="2"/>
      <c r="O169" s="2"/>
      <c r="P169" s="2"/>
    </row>
    <row r="170" spans="2:16" x14ac:dyDescent="0.2">
      <c r="E170" s="21"/>
      <c r="L170" s="2"/>
      <c r="M170" s="2"/>
      <c r="N170" s="2"/>
      <c r="O170" s="2"/>
      <c r="P170" s="2"/>
    </row>
    <row r="171" spans="2:16" x14ac:dyDescent="0.2">
      <c r="E171" s="21"/>
      <c r="L171" s="2"/>
      <c r="M171" s="2"/>
      <c r="N171" s="2"/>
      <c r="O171" s="2"/>
      <c r="P171" s="2"/>
    </row>
    <row r="172" spans="2:16" x14ac:dyDescent="0.2">
      <c r="E172" s="21"/>
      <c r="L172" s="2"/>
      <c r="M172" s="2"/>
      <c r="N172" s="2"/>
      <c r="O172" s="2"/>
      <c r="P172" s="2"/>
    </row>
    <row r="173" spans="2:16" x14ac:dyDescent="0.2">
      <c r="E173" s="21"/>
    </row>
    <row r="174" spans="2:16" x14ac:dyDescent="0.2">
      <c r="E174" s="21"/>
    </row>
    <row r="175" spans="2:16" x14ac:dyDescent="0.2">
      <c r="E175" s="21"/>
    </row>
    <row r="176" spans="2:16" x14ac:dyDescent="0.2">
      <c r="E176" s="21"/>
    </row>
  </sheetData>
  <mergeCells count="3">
    <mergeCell ref="B10:D10"/>
    <mergeCell ref="Y23:Z23"/>
    <mergeCell ref="N2:R2"/>
  </mergeCells>
  <phoneticPr fontId="0" type="noConversion"/>
  <pageMargins left="0.75" right="0.75" top="1" bottom="1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K121"/>
  <sheetViews>
    <sheetView workbookViewId="0">
      <pane ySplit="20" topLeftCell="A21" activePane="bottomLeft" state="frozen"/>
      <selection pane="bottomLeft" activeCell="G22" sqref="G22"/>
    </sheetView>
  </sheetViews>
  <sheetFormatPr defaultRowHeight="12.75" x14ac:dyDescent="0.2"/>
  <cols>
    <col min="1" max="1" width="5" style="1" customWidth="1"/>
    <col min="2" max="2" width="11.5703125" style="1" customWidth="1"/>
    <col min="3" max="3" width="11.85546875" style="1" customWidth="1"/>
    <col min="4" max="4" width="13.140625" style="1" customWidth="1"/>
    <col min="5" max="5" width="12.7109375" style="1" customWidth="1"/>
    <col min="6" max="6" width="13.140625" style="1" customWidth="1"/>
    <col min="7" max="7" width="12.42578125" style="1" customWidth="1"/>
    <col min="8" max="8" width="9.140625" style="1"/>
    <col min="9" max="9" width="10.42578125" style="1" customWidth="1"/>
    <col min="10" max="10" width="11.42578125" style="1" customWidth="1"/>
    <col min="11" max="11" width="12.42578125" style="1" bestFit="1" customWidth="1"/>
    <col min="12" max="16384" width="9.140625" style="1"/>
  </cols>
  <sheetData>
    <row r="1" spans="2:11" ht="19.5" customHeight="1" x14ac:dyDescent="0.25">
      <c r="B1" s="5" t="s">
        <v>40</v>
      </c>
      <c r="G1" s="9"/>
      <c r="J1" s="4"/>
      <c r="K1" s="4"/>
    </row>
    <row r="2" spans="2:11" x14ac:dyDescent="0.2">
      <c r="G2" s="9"/>
    </row>
    <row r="3" spans="2:11" x14ac:dyDescent="0.2">
      <c r="B3" s="1" t="s">
        <v>9</v>
      </c>
      <c r="D3" s="6">
        <v>0.01</v>
      </c>
      <c r="E3" s="1" t="s">
        <v>14</v>
      </c>
      <c r="F3" s="1" t="s">
        <v>11</v>
      </c>
      <c r="G3" s="14">
        <f>D3/D4</f>
        <v>2.8571428571428574E-2</v>
      </c>
      <c r="H3" s="1" t="s">
        <v>14</v>
      </c>
      <c r="K3" s="2"/>
    </row>
    <row r="4" spans="2:11" x14ac:dyDescent="0.2">
      <c r="B4" s="1" t="s">
        <v>28</v>
      </c>
      <c r="D4" s="6">
        <v>0.35</v>
      </c>
      <c r="E4" s="1" t="s">
        <v>27</v>
      </c>
      <c r="F4" s="1" t="s">
        <v>0</v>
      </c>
      <c r="G4" s="15">
        <f>D16*G3/D17</f>
        <v>10.428571428571429</v>
      </c>
      <c r="H4" s="1" t="s">
        <v>24</v>
      </c>
    </row>
    <row r="5" spans="2:11" x14ac:dyDescent="0.2">
      <c r="B5" s="1" t="s">
        <v>30</v>
      </c>
      <c r="D5" s="6">
        <v>0.05</v>
      </c>
      <c r="E5" s="1" t="s">
        <v>27</v>
      </c>
      <c r="F5" s="1" t="s">
        <v>2</v>
      </c>
      <c r="G5" s="16">
        <f>D17/D7</f>
        <v>10</v>
      </c>
    </row>
    <row r="6" spans="2:11" x14ac:dyDescent="0.2">
      <c r="B6" s="1" t="s">
        <v>29</v>
      </c>
      <c r="D6" s="6">
        <v>1.4999999999999999E-2</v>
      </c>
      <c r="E6" s="1" t="s">
        <v>15</v>
      </c>
      <c r="F6" s="1" t="s">
        <v>3</v>
      </c>
      <c r="G6" s="14">
        <f>(D5+D9*D8/D4)/(1+D8/D4)</f>
        <v>0.05</v>
      </c>
    </row>
    <row r="7" spans="2:11" ht="13.5" customHeight="1" x14ac:dyDescent="0.2">
      <c r="B7" s="1" t="s">
        <v>32</v>
      </c>
      <c r="D7" s="6">
        <v>0.1</v>
      </c>
      <c r="E7" s="1" t="s">
        <v>23</v>
      </c>
      <c r="F7" s="1" t="s">
        <v>4</v>
      </c>
      <c r="G7" s="14">
        <f>D6*D17/D3</f>
        <v>1.5</v>
      </c>
    </row>
    <row r="8" spans="2:11" x14ac:dyDescent="0.2">
      <c r="B8" s="1" t="s">
        <v>38</v>
      </c>
      <c r="D8" s="6">
        <v>0.5</v>
      </c>
      <c r="E8" s="1" t="s">
        <v>42</v>
      </c>
      <c r="F8" s="1" t="s">
        <v>1</v>
      </c>
      <c r="G8" s="15">
        <f>1+D8/D4</f>
        <v>2.4285714285714288</v>
      </c>
    </row>
    <row r="9" spans="2:11" x14ac:dyDescent="0.2">
      <c r="B9" s="1" t="s">
        <v>31</v>
      </c>
      <c r="D9" s="6">
        <v>0.05</v>
      </c>
      <c r="E9" s="1" t="s">
        <v>42</v>
      </c>
      <c r="F9" s="3" t="s">
        <v>5</v>
      </c>
      <c r="G9" s="17">
        <f>$D$17/$G$3*($D$5/$D$4*$D$10+$D$9*($G$8-1)*$D$11)</f>
        <v>5.000000000000001E-2</v>
      </c>
    </row>
    <row r="10" spans="2:11" x14ac:dyDescent="0.2">
      <c r="B10" s="1" t="s">
        <v>34</v>
      </c>
      <c r="D10" s="7">
        <v>0.01</v>
      </c>
      <c r="E10" s="1" t="s">
        <v>15</v>
      </c>
      <c r="F10" s="1" t="s">
        <v>6</v>
      </c>
      <c r="G10" s="17">
        <f>$D$17/$G$3*((1-$D$5/$D$4)*$D$12+(1-$D$9)*($G$8-1)*$D$13)</f>
        <v>0.3</v>
      </c>
    </row>
    <row r="11" spans="2:11" x14ac:dyDescent="0.2">
      <c r="B11" s="1" t="s">
        <v>35</v>
      </c>
      <c r="D11" s="7">
        <v>0</v>
      </c>
      <c r="E11" s="1" t="s">
        <v>49</v>
      </c>
      <c r="F11" s="1" t="s">
        <v>47</v>
      </c>
      <c r="G11" s="16">
        <f>D14</f>
        <v>0</v>
      </c>
      <c r="H11" s="1" t="s">
        <v>39</v>
      </c>
    </row>
    <row r="12" spans="2:11" x14ac:dyDescent="0.2">
      <c r="B12" s="1" t="s">
        <v>36</v>
      </c>
      <c r="D12" s="7">
        <v>0.01</v>
      </c>
      <c r="E12" s="1" t="s">
        <v>15</v>
      </c>
      <c r="F12" s="1" t="s">
        <v>48</v>
      </c>
      <c r="G12" s="16">
        <f>D15</f>
        <v>100</v>
      </c>
      <c r="H12" s="1" t="s">
        <v>39</v>
      </c>
    </row>
    <row r="13" spans="2:11" x14ac:dyDescent="0.2">
      <c r="B13" s="1" t="s">
        <v>37</v>
      </c>
      <c r="D13" s="7">
        <v>0</v>
      </c>
      <c r="E13" s="1" t="s">
        <v>49</v>
      </c>
      <c r="F13" s="1" t="s">
        <v>46</v>
      </c>
      <c r="G13" s="18" t="b">
        <v>1</v>
      </c>
    </row>
    <row r="14" spans="2:11" x14ac:dyDescent="0.2">
      <c r="B14" s="1" t="s">
        <v>13</v>
      </c>
      <c r="D14" s="6">
        <v>0</v>
      </c>
      <c r="E14" s="1" t="s">
        <v>16</v>
      </c>
      <c r="F14" s="1" t="s">
        <v>44</v>
      </c>
      <c r="G14" s="6" t="s">
        <v>7</v>
      </c>
    </row>
    <row r="15" spans="2:11" x14ac:dyDescent="0.2">
      <c r="B15" s="1" t="s">
        <v>25</v>
      </c>
      <c r="D15" s="6">
        <v>100</v>
      </c>
      <c r="E15" s="1" t="s">
        <v>16</v>
      </c>
      <c r="F15" s="1" t="s">
        <v>45</v>
      </c>
      <c r="G15" s="6">
        <v>75</v>
      </c>
    </row>
    <row r="16" spans="2:11" x14ac:dyDescent="0.2">
      <c r="B16" s="1" t="s">
        <v>22</v>
      </c>
      <c r="D16" s="6">
        <v>365</v>
      </c>
      <c r="E16" s="1" t="s">
        <v>24</v>
      </c>
      <c r="F16" s="1" t="s">
        <v>43</v>
      </c>
      <c r="G16" s="6">
        <v>1E-3</v>
      </c>
    </row>
    <row r="17" spans="2:7" x14ac:dyDescent="0.2">
      <c r="B17" s="1" t="s">
        <v>33</v>
      </c>
      <c r="D17" s="8">
        <v>1</v>
      </c>
      <c r="E17" s="1" t="s">
        <v>23</v>
      </c>
    </row>
    <row r="19" spans="2:7" x14ac:dyDescent="0.2">
      <c r="D19" s="76" t="s">
        <v>53</v>
      </c>
      <c r="E19" s="76"/>
      <c r="F19" s="76"/>
      <c r="G19" s="2" t="s">
        <v>17</v>
      </c>
    </row>
    <row r="20" spans="2:7" x14ac:dyDescent="0.2">
      <c r="B20" s="10" t="s">
        <v>21</v>
      </c>
      <c r="C20" s="10" t="s">
        <v>20</v>
      </c>
      <c r="D20" s="10" t="s">
        <v>50</v>
      </c>
      <c r="E20" s="10" t="s">
        <v>51</v>
      </c>
      <c r="F20" s="10" t="s">
        <v>52</v>
      </c>
      <c r="G20" s="10" t="s">
        <v>19</v>
      </c>
    </row>
    <row r="21" spans="2:7" x14ac:dyDescent="0.2">
      <c r="B21" s="11">
        <v>1E-3</v>
      </c>
      <c r="C21" s="12">
        <v>5</v>
      </c>
      <c r="D21" s="13" t="e">
        <f ca="1">mim(C21/Lref,v*B21/Lref,to,P,beta,omega,RF,_mu1,_mu2,"Resident","Mobile",Ci,Co,log,method,Nint,tol)</f>
        <v>#NAME?</v>
      </c>
      <c r="E21" s="13" t="e">
        <f t="shared" ref="E21:E52" ca="1" si="0">mim(C21/Lref,v*B21/Lref,to,P,beta,omega,RF,_mu1,_mu2,"Resident","Immobile",Ci,Co,log,method,Nint,tol)</f>
        <v>#NAME?</v>
      </c>
      <c r="F21" s="13" t="e">
        <f t="shared" ref="F21:F52" ca="1" si="1">D21*f_m_water+(1-f_m_water)*E21</f>
        <v>#NAME?</v>
      </c>
      <c r="G21" s="13" t="e">
        <f t="shared" ref="G21:G52" ca="1" si="2">mim(C21/Lref,v*B21/Lref,to,P,beta,omega,RF,_mu1,_mu2,"Flux","Mobile",Ci,Co,log,method,Nint,tol)</f>
        <v>#NAME?</v>
      </c>
    </row>
    <row r="22" spans="2:7" x14ac:dyDescent="0.2">
      <c r="B22" s="12">
        <f>B21+15</f>
        <v>15.000999999999999</v>
      </c>
      <c r="C22" s="12">
        <v>5</v>
      </c>
      <c r="D22" s="13" t="e">
        <f t="shared" ref="D22:D52" ca="1" si="3">mim(C22/Lref,v*B22/Lref,to,P,beta,omega,RF,_mu1,_mu2,"Resident","Mobile",Ci,Co,log,method,Nint,tol)</f>
        <v>#NAME?</v>
      </c>
      <c r="E22" s="13" t="e">
        <f t="shared" ca="1" si="0"/>
        <v>#NAME?</v>
      </c>
      <c r="F22" s="13" t="e">
        <f t="shared" ca="1" si="1"/>
        <v>#NAME?</v>
      </c>
      <c r="G22" s="13" t="e">
        <f t="shared" ca="1" si="2"/>
        <v>#NAME?</v>
      </c>
    </row>
    <row r="23" spans="2:7" x14ac:dyDescent="0.2">
      <c r="B23" s="12">
        <f t="shared" ref="B23:B86" si="4">B22+15</f>
        <v>30.000999999999998</v>
      </c>
      <c r="C23" s="12">
        <v>5</v>
      </c>
      <c r="D23" s="13" t="e">
        <f t="shared" ca="1" si="3"/>
        <v>#NAME?</v>
      </c>
      <c r="E23" s="13" t="e">
        <f t="shared" ca="1" si="0"/>
        <v>#NAME?</v>
      </c>
      <c r="F23" s="13" t="e">
        <f t="shared" ca="1" si="1"/>
        <v>#NAME?</v>
      </c>
      <c r="G23" s="13" t="e">
        <f t="shared" ca="1" si="2"/>
        <v>#NAME?</v>
      </c>
    </row>
    <row r="24" spans="2:7" x14ac:dyDescent="0.2">
      <c r="B24" s="12">
        <f t="shared" si="4"/>
        <v>45.000999999999998</v>
      </c>
      <c r="C24" s="12">
        <v>5</v>
      </c>
      <c r="D24" s="13" t="e">
        <f t="shared" ca="1" si="3"/>
        <v>#NAME?</v>
      </c>
      <c r="E24" s="13" t="e">
        <f t="shared" ca="1" si="0"/>
        <v>#NAME?</v>
      </c>
      <c r="F24" s="13" t="e">
        <f t="shared" ca="1" si="1"/>
        <v>#NAME?</v>
      </c>
      <c r="G24" s="13" t="e">
        <f t="shared" ca="1" si="2"/>
        <v>#NAME?</v>
      </c>
    </row>
    <row r="25" spans="2:7" x14ac:dyDescent="0.2">
      <c r="B25" s="12">
        <f t="shared" si="4"/>
        <v>60.000999999999998</v>
      </c>
      <c r="C25" s="12">
        <v>5</v>
      </c>
      <c r="D25" s="13" t="e">
        <f t="shared" ca="1" si="3"/>
        <v>#NAME?</v>
      </c>
      <c r="E25" s="13" t="e">
        <f t="shared" ca="1" si="0"/>
        <v>#NAME?</v>
      </c>
      <c r="F25" s="13" t="e">
        <f t="shared" ca="1" si="1"/>
        <v>#NAME?</v>
      </c>
      <c r="G25" s="13" t="e">
        <f t="shared" ca="1" si="2"/>
        <v>#NAME?</v>
      </c>
    </row>
    <row r="26" spans="2:7" x14ac:dyDescent="0.2">
      <c r="B26" s="12">
        <f t="shared" si="4"/>
        <v>75.001000000000005</v>
      </c>
      <c r="C26" s="12">
        <v>5</v>
      </c>
      <c r="D26" s="13" t="e">
        <f t="shared" ca="1" si="3"/>
        <v>#NAME?</v>
      </c>
      <c r="E26" s="13" t="e">
        <f t="shared" ca="1" si="0"/>
        <v>#NAME?</v>
      </c>
      <c r="F26" s="13" t="e">
        <f t="shared" ca="1" si="1"/>
        <v>#NAME?</v>
      </c>
      <c r="G26" s="13" t="e">
        <f t="shared" ca="1" si="2"/>
        <v>#NAME?</v>
      </c>
    </row>
    <row r="27" spans="2:7" x14ac:dyDescent="0.2">
      <c r="B27" s="12">
        <f t="shared" si="4"/>
        <v>90.001000000000005</v>
      </c>
      <c r="C27" s="12">
        <v>5</v>
      </c>
      <c r="D27" s="13" t="e">
        <f t="shared" ca="1" si="3"/>
        <v>#NAME?</v>
      </c>
      <c r="E27" s="13" t="e">
        <f t="shared" ca="1" si="0"/>
        <v>#NAME?</v>
      </c>
      <c r="F27" s="13" t="e">
        <f t="shared" ca="1" si="1"/>
        <v>#NAME?</v>
      </c>
      <c r="G27" s="13" t="e">
        <f t="shared" ca="1" si="2"/>
        <v>#NAME?</v>
      </c>
    </row>
    <row r="28" spans="2:7" x14ac:dyDescent="0.2">
      <c r="B28" s="12">
        <f t="shared" si="4"/>
        <v>105.001</v>
      </c>
      <c r="C28" s="12">
        <v>5</v>
      </c>
      <c r="D28" s="13" t="e">
        <f t="shared" ca="1" si="3"/>
        <v>#NAME?</v>
      </c>
      <c r="E28" s="13" t="e">
        <f t="shared" ca="1" si="0"/>
        <v>#NAME?</v>
      </c>
      <c r="F28" s="13" t="e">
        <f t="shared" ca="1" si="1"/>
        <v>#NAME?</v>
      </c>
      <c r="G28" s="13" t="e">
        <f t="shared" ca="1" si="2"/>
        <v>#NAME?</v>
      </c>
    </row>
    <row r="29" spans="2:7" x14ac:dyDescent="0.2">
      <c r="B29" s="12">
        <f t="shared" si="4"/>
        <v>120.001</v>
      </c>
      <c r="C29" s="12">
        <v>5</v>
      </c>
      <c r="D29" s="13" t="e">
        <f t="shared" ca="1" si="3"/>
        <v>#NAME?</v>
      </c>
      <c r="E29" s="13" t="e">
        <f t="shared" ca="1" si="0"/>
        <v>#NAME?</v>
      </c>
      <c r="F29" s="13" t="e">
        <f t="shared" ca="1" si="1"/>
        <v>#NAME?</v>
      </c>
      <c r="G29" s="13" t="e">
        <f t="shared" ca="1" si="2"/>
        <v>#NAME?</v>
      </c>
    </row>
    <row r="30" spans="2:7" x14ac:dyDescent="0.2">
      <c r="B30" s="12">
        <f t="shared" si="4"/>
        <v>135.001</v>
      </c>
      <c r="C30" s="12">
        <v>5</v>
      </c>
      <c r="D30" s="13" t="e">
        <f t="shared" ca="1" si="3"/>
        <v>#NAME?</v>
      </c>
      <c r="E30" s="13" t="e">
        <f t="shared" ca="1" si="0"/>
        <v>#NAME?</v>
      </c>
      <c r="F30" s="13" t="e">
        <f t="shared" ca="1" si="1"/>
        <v>#NAME?</v>
      </c>
      <c r="G30" s="13" t="e">
        <f t="shared" ca="1" si="2"/>
        <v>#NAME?</v>
      </c>
    </row>
    <row r="31" spans="2:7" x14ac:dyDescent="0.2">
      <c r="B31" s="12">
        <f t="shared" si="4"/>
        <v>150.001</v>
      </c>
      <c r="C31" s="12">
        <v>5</v>
      </c>
      <c r="D31" s="13" t="e">
        <f t="shared" ca="1" si="3"/>
        <v>#NAME?</v>
      </c>
      <c r="E31" s="13" t="e">
        <f t="shared" ca="1" si="0"/>
        <v>#NAME?</v>
      </c>
      <c r="F31" s="13" t="e">
        <f t="shared" ca="1" si="1"/>
        <v>#NAME?</v>
      </c>
      <c r="G31" s="13" t="e">
        <f t="shared" ca="1" si="2"/>
        <v>#NAME?</v>
      </c>
    </row>
    <row r="32" spans="2:7" x14ac:dyDescent="0.2">
      <c r="B32" s="12">
        <f t="shared" si="4"/>
        <v>165.001</v>
      </c>
      <c r="C32" s="12">
        <v>5</v>
      </c>
      <c r="D32" s="13" t="e">
        <f t="shared" ca="1" si="3"/>
        <v>#NAME?</v>
      </c>
      <c r="E32" s="13" t="e">
        <f t="shared" ca="1" si="0"/>
        <v>#NAME?</v>
      </c>
      <c r="F32" s="13" t="e">
        <f t="shared" ca="1" si="1"/>
        <v>#NAME?</v>
      </c>
      <c r="G32" s="13" t="e">
        <f t="shared" ca="1" si="2"/>
        <v>#NAME?</v>
      </c>
    </row>
    <row r="33" spans="2:7" x14ac:dyDescent="0.2">
      <c r="B33" s="12">
        <f t="shared" si="4"/>
        <v>180.001</v>
      </c>
      <c r="C33" s="12">
        <v>5</v>
      </c>
      <c r="D33" s="13" t="e">
        <f t="shared" ca="1" si="3"/>
        <v>#NAME?</v>
      </c>
      <c r="E33" s="13" t="e">
        <f t="shared" ca="1" si="0"/>
        <v>#NAME?</v>
      </c>
      <c r="F33" s="13" t="e">
        <f t="shared" ca="1" si="1"/>
        <v>#NAME?</v>
      </c>
      <c r="G33" s="13" t="e">
        <f t="shared" ca="1" si="2"/>
        <v>#NAME?</v>
      </c>
    </row>
    <row r="34" spans="2:7" x14ac:dyDescent="0.2">
      <c r="B34" s="12">
        <f t="shared" si="4"/>
        <v>195.001</v>
      </c>
      <c r="C34" s="12">
        <v>5</v>
      </c>
      <c r="D34" s="13" t="e">
        <f t="shared" ca="1" si="3"/>
        <v>#NAME?</v>
      </c>
      <c r="E34" s="13" t="e">
        <f t="shared" ca="1" si="0"/>
        <v>#NAME?</v>
      </c>
      <c r="F34" s="13" t="e">
        <f t="shared" ca="1" si="1"/>
        <v>#NAME?</v>
      </c>
      <c r="G34" s="13" t="e">
        <f t="shared" ca="1" si="2"/>
        <v>#NAME?</v>
      </c>
    </row>
    <row r="35" spans="2:7" x14ac:dyDescent="0.2">
      <c r="B35" s="12">
        <f t="shared" si="4"/>
        <v>210.001</v>
      </c>
      <c r="C35" s="12">
        <v>5</v>
      </c>
      <c r="D35" s="13" t="e">
        <f t="shared" ca="1" si="3"/>
        <v>#NAME?</v>
      </c>
      <c r="E35" s="13" t="e">
        <f t="shared" ca="1" si="0"/>
        <v>#NAME?</v>
      </c>
      <c r="F35" s="13" t="e">
        <f t="shared" ca="1" si="1"/>
        <v>#NAME?</v>
      </c>
      <c r="G35" s="13" t="e">
        <f t="shared" ca="1" si="2"/>
        <v>#NAME?</v>
      </c>
    </row>
    <row r="36" spans="2:7" x14ac:dyDescent="0.2">
      <c r="B36" s="12">
        <f t="shared" si="4"/>
        <v>225.001</v>
      </c>
      <c r="C36" s="12">
        <v>5</v>
      </c>
      <c r="D36" s="13" t="e">
        <f t="shared" ca="1" si="3"/>
        <v>#NAME?</v>
      </c>
      <c r="E36" s="13" t="e">
        <f t="shared" ca="1" si="0"/>
        <v>#NAME?</v>
      </c>
      <c r="F36" s="13" t="e">
        <f t="shared" ca="1" si="1"/>
        <v>#NAME?</v>
      </c>
      <c r="G36" s="13" t="e">
        <f t="shared" ca="1" si="2"/>
        <v>#NAME?</v>
      </c>
    </row>
    <row r="37" spans="2:7" x14ac:dyDescent="0.2">
      <c r="B37" s="12">
        <f t="shared" si="4"/>
        <v>240.001</v>
      </c>
      <c r="C37" s="12">
        <v>5</v>
      </c>
      <c r="D37" s="13" t="e">
        <f t="shared" ca="1" si="3"/>
        <v>#NAME?</v>
      </c>
      <c r="E37" s="13" t="e">
        <f t="shared" ca="1" si="0"/>
        <v>#NAME?</v>
      </c>
      <c r="F37" s="13" t="e">
        <f t="shared" ca="1" si="1"/>
        <v>#NAME?</v>
      </c>
      <c r="G37" s="13" t="e">
        <f t="shared" ca="1" si="2"/>
        <v>#NAME?</v>
      </c>
    </row>
    <row r="38" spans="2:7" x14ac:dyDescent="0.2">
      <c r="B38" s="12">
        <f t="shared" si="4"/>
        <v>255.001</v>
      </c>
      <c r="C38" s="12">
        <v>5</v>
      </c>
      <c r="D38" s="13" t="e">
        <f t="shared" ca="1" si="3"/>
        <v>#NAME?</v>
      </c>
      <c r="E38" s="13" t="e">
        <f t="shared" ca="1" si="0"/>
        <v>#NAME?</v>
      </c>
      <c r="F38" s="13" t="e">
        <f t="shared" ca="1" si="1"/>
        <v>#NAME?</v>
      </c>
      <c r="G38" s="13" t="e">
        <f t="shared" ca="1" si="2"/>
        <v>#NAME?</v>
      </c>
    </row>
    <row r="39" spans="2:7" x14ac:dyDescent="0.2">
      <c r="B39" s="12">
        <f t="shared" si="4"/>
        <v>270.00099999999998</v>
      </c>
      <c r="C39" s="12">
        <v>5</v>
      </c>
      <c r="D39" s="13" t="e">
        <f t="shared" ca="1" si="3"/>
        <v>#NAME?</v>
      </c>
      <c r="E39" s="13" t="e">
        <f t="shared" ca="1" si="0"/>
        <v>#NAME?</v>
      </c>
      <c r="F39" s="13" t="e">
        <f t="shared" ca="1" si="1"/>
        <v>#NAME?</v>
      </c>
      <c r="G39" s="13" t="e">
        <f t="shared" ca="1" si="2"/>
        <v>#NAME?</v>
      </c>
    </row>
    <row r="40" spans="2:7" x14ac:dyDescent="0.2">
      <c r="B40" s="12">
        <f t="shared" si="4"/>
        <v>285.00099999999998</v>
      </c>
      <c r="C40" s="12">
        <v>5</v>
      </c>
      <c r="D40" s="13" t="e">
        <f t="shared" ca="1" si="3"/>
        <v>#NAME?</v>
      </c>
      <c r="E40" s="13" t="e">
        <f t="shared" ca="1" si="0"/>
        <v>#NAME?</v>
      </c>
      <c r="F40" s="13" t="e">
        <f t="shared" ca="1" si="1"/>
        <v>#NAME?</v>
      </c>
      <c r="G40" s="13" t="e">
        <f t="shared" ca="1" si="2"/>
        <v>#NAME?</v>
      </c>
    </row>
    <row r="41" spans="2:7" x14ac:dyDescent="0.2">
      <c r="B41" s="12">
        <f t="shared" si="4"/>
        <v>300.00099999999998</v>
      </c>
      <c r="C41" s="12">
        <v>5</v>
      </c>
      <c r="D41" s="13" t="e">
        <f t="shared" ca="1" si="3"/>
        <v>#NAME?</v>
      </c>
      <c r="E41" s="13" t="e">
        <f t="shared" ca="1" si="0"/>
        <v>#NAME?</v>
      </c>
      <c r="F41" s="13" t="e">
        <f t="shared" ca="1" si="1"/>
        <v>#NAME?</v>
      </c>
      <c r="G41" s="13" t="e">
        <f t="shared" ca="1" si="2"/>
        <v>#NAME?</v>
      </c>
    </row>
    <row r="42" spans="2:7" x14ac:dyDescent="0.2">
      <c r="B42" s="12">
        <f t="shared" si="4"/>
        <v>315.00099999999998</v>
      </c>
      <c r="C42" s="12">
        <v>5</v>
      </c>
      <c r="D42" s="13" t="e">
        <f t="shared" ca="1" si="3"/>
        <v>#NAME?</v>
      </c>
      <c r="E42" s="13" t="e">
        <f t="shared" ca="1" si="0"/>
        <v>#NAME?</v>
      </c>
      <c r="F42" s="13" t="e">
        <f t="shared" ca="1" si="1"/>
        <v>#NAME?</v>
      </c>
      <c r="G42" s="13" t="e">
        <f t="shared" ca="1" si="2"/>
        <v>#NAME?</v>
      </c>
    </row>
    <row r="43" spans="2:7" x14ac:dyDescent="0.2">
      <c r="B43" s="12">
        <f t="shared" si="4"/>
        <v>330.00099999999998</v>
      </c>
      <c r="C43" s="12">
        <v>5</v>
      </c>
      <c r="D43" s="13" t="e">
        <f t="shared" ca="1" si="3"/>
        <v>#NAME?</v>
      </c>
      <c r="E43" s="13" t="e">
        <f t="shared" ca="1" si="0"/>
        <v>#NAME?</v>
      </c>
      <c r="F43" s="13" t="e">
        <f t="shared" ca="1" si="1"/>
        <v>#NAME?</v>
      </c>
      <c r="G43" s="13" t="e">
        <f t="shared" ca="1" si="2"/>
        <v>#NAME?</v>
      </c>
    </row>
    <row r="44" spans="2:7" x14ac:dyDescent="0.2">
      <c r="B44" s="12">
        <f t="shared" si="4"/>
        <v>345.00099999999998</v>
      </c>
      <c r="C44" s="12">
        <v>5</v>
      </c>
      <c r="D44" s="13" t="e">
        <f t="shared" ca="1" si="3"/>
        <v>#NAME?</v>
      </c>
      <c r="E44" s="13" t="e">
        <f t="shared" ca="1" si="0"/>
        <v>#NAME?</v>
      </c>
      <c r="F44" s="13" t="e">
        <f t="shared" ca="1" si="1"/>
        <v>#NAME?</v>
      </c>
      <c r="G44" s="13" t="e">
        <f t="shared" ca="1" si="2"/>
        <v>#NAME?</v>
      </c>
    </row>
    <row r="45" spans="2:7" x14ac:dyDescent="0.2">
      <c r="B45" s="12">
        <f t="shared" si="4"/>
        <v>360.00099999999998</v>
      </c>
      <c r="C45" s="12">
        <v>5</v>
      </c>
      <c r="D45" s="13" t="e">
        <f t="shared" ca="1" si="3"/>
        <v>#NAME?</v>
      </c>
      <c r="E45" s="13" t="e">
        <f t="shared" ca="1" si="0"/>
        <v>#NAME?</v>
      </c>
      <c r="F45" s="13" t="e">
        <f t="shared" ca="1" si="1"/>
        <v>#NAME?</v>
      </c>
      <c r="G45" s="13" t="e">
        <f t="shared" ca="1" si="2"/>
        <v>#NAME?</v>
      </c>
    </row>
    <row r="46" spans="2:7" x14ac:dyDescent="0.2">
      <c r="B46" s="12">
        <f t="shared" si="4"/>
        <v>375.00099999999998</v>
      </c>
      <c r="C46" s="12">
        <v>5</v>
      </c>
      <c r="D46" s="13" t="e">
        <f t="shared" ca="1" si="3"/>
        <v>#NAME?</v>
      </c>
      <c r="E46" s="13" t="e">
        <f t="shared" ca="1" si="0"/>
        <v>#NAME?</v>
      </c>
      <c r="F46" s="13" t="e">
        <f t="shared" ca="1" si="1"/>
        <v>#NAME?</v>
      </c>
      <c r="G46" s="13" t="e">
        <f t="shared" ca="1" si="2"/>
        <v>#NAME?</v>
      </c>
    </row>
    <row r="47" spans="2:7" x14ac:dyDescent="0.2">
      <c r="B47" s="12">
        <f t="shared" si="4"/>
        <v>390.00099999999998</v>
      </c>
      <c r="C47" s="12">
        <v>5</v>
      </c>
      <c r="D47" s="13" t="e">
        <f t="shared" ca="1" si="3"/>
        <v>#NAME?</v>
      </c>
      <c r="E47" s="13" t="e">
        <f t="shared" ca="1" si="0"/>
        <v>#NAME?</v>
      </c>
      <c r="F47" s="13" t="e">
        <f t="shared" ca="1" si="1"/>
        <v>#NAME?</v>
      </c>
      <c r="G47" s="13" t="e">
        <f t="shared" ca="1" si="2"/>
        <v>#NAME?</v>
      </c>
    </row>
    <row r="48" spans="2:7" x14ac:dyDescent="0.2">
      <c r="B48" s="12">
        <f t="shared" si="4"/>
        <v>405.00099999999998</v>
      </c>
      <c r="C48" s="12">
        <v>5</v>
      </c>
      <c r="D48" s="13" t="e">
        <f t="shared" ca="1" si="3"/>
        <v>#NAME?</v>
      </c>
      <c r="E48" s="13" t="e">
        <f t="shared" ca="1" si="0"/>
        <v>#NAME?</v>
      </c>
      <c r="F48" s="13" t="e">
        <f t="shared" ca="1" si="1"/>
        <v>#NAME?</v>
      </c>
      <c r="G48" s="13" t="e">
        <f t="shared" ca="1" si="2"/>
        <v>#NAME?</v>
      </c>
    </row>
    <row r="49" spans="2:7" x14ac:dyDescent="0.2">
      <c r="B49" s="12">
        <f t="shared" si="4"/>
        <v>420.00099999999998</v>
      </c>
      <c r="C49" s="12">
        <v>5</v>
      </c>
      <c r="D49" s="13" t="e">
        <f t="shared" ca="1" si="3"/>
        <v>#NAME?</v>
      </c>
      <c r="E49" s="13" t="e">
        <f t="shared" ca="1" si="0"/>
        <v>#NAME?</v>
      </c>
      <c r="F49" s="13" t="e">
        <f t="shared" ca="1" si="1"/>
        <v>#NAME?</v>
      </c>
      <c r="G49" s="13" t="e">
        <f t="shared" ca="1" si="2"/>
        <v>#NAME?</v>
      </c>
    </row>
    <row r="50" spans="2:7" x14ac:dyDescent="0.2">
      <c r="B50" s="12">
        <f t="shared" si="4"/>
        <v>435.00099999999998</v>
      </c>
      <c r="C50" s="12">
        <v>5</v>
      </c>
      <c r="D50" s="13" t="e">
        <f t="shared" ca="1" si="3"/>
        <v>#NAME?</v>
      </c>
      <c r="E50" s="13" t="e">
        <f t="shared" ca="1" si="0"/>
        <v>#NAME?</v>
      </c>
      <c r="F50" s="13" t="e">
        <f t="shared" ca="1" si="1"/>
        <v>#NAME?</v>
      </c>
      <c r="G50" s="13" t="e">
        <f t="shared" ca="1" si="2"/>
        <v>#NAME?</v>
      </c>
    </row>
    <row r="51" spans="2:7" x14ac:dyDescent="0.2">
      <c r="B51" s="12">
        <f t="shared" si="4"/>
        <v>450.00099999999998</v>
      </c>
      <c r="C51" s="12">
        <v>5</v>
      </c>
      <c r="D51" s="13" t="e">
        <f t="shared" ca="1" si="3"/>
        <v>#NAME?</v>
      </c>
      <c r="E51" s="13" t="e">
        <f t="shared" ca="1" si="0"/>
        <v>#NAME?</v>
      </c>
      <c r="F51" s="13" t="e">
        <f t="shared" ca="1" si="1"/>
        <v>#NAME?</v>
      </c>
      <c r="G51" s="13" t="e">
        <f t="shared" ca="1" si="2"/>
        <v>#NAME?</v>
      </c>
    </row>
    <row r="52" spans="2:7" x14ac:dyDescent="0.2">
      <c r="B52" s="12">
        <f t="shared" si="4"/>
        <v>465.00099999999998</v>
      </c>
      <c r="C52" s="12">
        <v>5</v>
      </c>
      <c r="D52" s="13" t="e">
        <f t="shared" ca="1" si="3"/>
        <v>#NAME?</v>
      </c>
      <c r="E52" s="13" t="e">
        <f t="shared" ca="1" si="0"/>
        <v>#NAME?</v>
      </c>
      <c r="F52" s="13" t="e">
        <f t="shared" ca="1" si="1"/>
        <v>#NAME?</v>
      </c>
      <c r="G52" s="13" t="e">
        <f t="shared" ca="1" si="2"/>
        <v>#NAME?</v>
      </c>
    </row>
    <row r="53" spans="2:7" x14ac:dyDescent="0.2">
      <c r="B53" s="12">
        <f t="shared" si="4"/>
        <v>480.00099999999998</v>
      </c>
      <c r="C53" s="12">
        <v>5</v>
      </c>
      <c r="D53" s="13" t="e">
        <f t="shared" ref="D53:D84" ca="1" si="5">mim(C53/Lref,v*B53/Lref,to,P,beta,omega,RF,_mu1,_mu2,"Resident","Mobile",Ci,Co,log,method,Nint,tol)</f>
        <v>#NAME?</v>
      </c>
      <c r="E53" s="13" t="e">
        <f t="shared" ref="E53:E84" ca="1" si="6">mim(C53/Lref,v*B53/Lref,to,P,beta,omega,RF,_mu1,_mu2,"Resident","Immobile",Ci,Co,log,method,Nint,tol)</f>
        <v>#NAME?</v>
      </c>
      <c r="F53" s="13" t="e">
        <f t="shared" ref="F53:F84" ca="1" si="7">D53*f_m_water+(1-f_m_water)*E53</f>
        <v>#NAME?</v>
      </c>
      <c r="G53" s="13" t="e">
        <f t="shared" ref="G53:G84" ca="1" si="8">mim(C53/Lref,v*B53/Lref,to,P,beta,omega,RF,_mu1,_mu2,"Flux","Mobile",Ci,Co,log,method,Nint,tol)</f>
        <v>#NAME?</v>
      </c>
    </row>
    <row r="54" spans="2:7" x14ac:dyDescent="0.2">
      <c r="B54" s="12">
        <f t="shared" si="4"/>
        <v>495.00099999999998</v>
      </c>
      <c r="C54" s="12">
        <v>5</v>
      </c>
      <c r="D54" s="13" t="e">
        <f t="shared" ca="1" si="5"/>
        <v>#NAME?</v>
      </c>
      <c r="E54" s="13" t="e">
        <f t="shared" ca="1" si="6"/>
        <v>#NAME?</v>
      </c>
      <c r="F54" s="13" t="e">
        <f t="shared" ca="1" si="7"/>
        <v>#NAME?</v>
      </c>
      <c r="G54" s="13" t="e">
        <f t="shared" ca="1" si="8"/>
        <v>#NAME?</v>
      </c>
    </row>
    <row r="55" spans="2:7" x14ac:dyDescent="0.2">
      <c r="B55" s="12">
        <f t="shared" si="4"/>
        <v>510.00099999999998</v>
      </c>
      <c r="C55" s="12">
        <v>5</v>
      </c>
      <c r="D55" s="13" t="e">
        <f t="shared" ca="1" si="5"/>
        <v>#NAME?</v>
      </c>
      <c r="E55" s="13" t="e">
        <f t="shared" ca="1" si="6"/>
        <v>#NAME?</v>
      </c>
      <c r="F55" s="13" t="e">
        <f t="shared" ca="1" si="7"/>
        <v>#NAME?</v>
      </c>
      <c r="G55" s="13" t="e">
        <f t="shared" ca="1" si="8"/>
        <v>#NAME?</v>
      </c>
    </row>
    <row r="56" spans="2:7" x14ac:dyDescent="0.2">
      <c r="B56" s="12">
        <f t="shared" si="4"/>
        <v>525.00099999999998</v>
      </c>
      <c r="C56" s="12">
        <v>5</v>
      </c>
      <c r="D56" s="13" t="e">
        <f t="shared" ca="1" si="5"/>
        <v>#NAME?</v>
      </c>
      <c r="E56" s="13" t="e">
        <f t="shared" ca="1" si="6"/>
        <v>#NAME?</v>
      </c>
      <c r="F56" s="13" t="e">
        <f t="shared" ca="1" si="7"/>
        <v>#NAME?</v>
      </c>
      <c r="G56" s="13" t="e">
        <f t="shared" ca="1" si="8"/>
        <v>#NAME?</v>
      </c>
    </row>
    <row r="57" spans="2:7" x14ac:dyDescent="0.2">
      <c r="B57" s="12">
        <f t="shared" si="4"/>
        <v>540.00099999999998</v>
      </c>
      <c r="C57" s="12">
        <v>5</v>
      </c>
      <c r="D57" s="13" t="e">
        <f t="shared" ca="1" si="5"/>
        <v>#NAME?</v>
      </c>
      <c r="E57" s="13" t="e">
        <f t="shared" ca="1" si="6"/>
        <v>#NAME?</v>
      </c>
      <c r="F57" s="13" t="e">
        <f t="shared" ca="1" si="7"/>
        <v>#NAME?</v>
      </c>
      <c r="G57" s="13" t="e">
        <f t="shared" ca="1" si="8"/>
        <v>#NAME?</v>
      </c>
    </row>
    <row r="58" spans="2:7" x14ac:dyDescent="0.2">
      <c r="B58" s="12">
        <f t="shared" si="4"/>
        <v>555.00099999999998</v>
      </c>
      <c r="C58" s="12">
        <v>5</v>
      </c>
      <c r="D58" s="13" t="e">
        <f t="shared" ca="1" si="5"/>
        <v>#NAME?</v>
      </c>
      <c r="E58" s="13" t="e">
        <f t="shared" ca="1" si="6"/>
        <v>#NAME?</v>
      </c>
      <c r="F58" s="13" t="e">
        <f t="shared" ca="1" si="7"/>
        <v>#NAME?</v>
      </c>
      <c r="G58" s="13" t="e">
        <f t="shared" ca="1" si="8"/>
        <v>#NAME?</v>
      </c>
    </row>
    <row r="59" spans="2:7" x14ac:dyDescent="0.2">
      <c r="B59" s="12">
        <f t="shared" si="4"/>
        <v>570.00099999999998</v>
      </c>
      <c r="C59" s="12">
        <v>5</v>
      </c>
      <c r="D59" s="13" t="e">
        <f t="shared" ca="1" si="5"/>
        <v>#NAME?</v>
      </c>
      <c r="E59" s="13" t="e">
        <f t="shared" ca="1" si="6"/>
        <v>#NAME?</v>
      </c>
      <c r="F59" s="13" t="e">
        <f t="shared" ca="1" si="7"/>
        <v>#NAME?</v>
      </c>
      <c r="G59" s="13" t="e">
        <f t="shared" ca="1" si="8"/>
        <v>#NAME?</v>
      </c>
    </row>
    <row r="60" spans="2:7" x14ac:dyDescent="0.2">
      <c r="B60" s="12">
        <f t="shared" si="4"/>
        <v>585.00099999999998</v>
      </c>
      <c r="C60" s="12">
        <v>5</v>
      </c>
      <c r="D60" s="13" t="e">
        <f t="shared" ca="1" si="5"/>
        <v>#NAME?</v>
      </c>
      <c r="E60" s="13" t="e">
        <f t="shared" ca="1" si="6"/>
        <v>#NAME?</v>
      </c>
      <c r="F60" s="13" t="e">
        <f t="shared" ca="1" si="7"/>
        <v>#NAME?</v>
      </c>
      <c r="G60" s="13" t="e">
        <f t="shared" ca="1" si="8"/>
        <v>#NAME?</v>
      </c>
    </row>
    <row r="61" spans="2:7" x14ac:dyDescent="0.2">
      <c r="B61" s="12">
        <f t="shared" si="4"/>
        <v>600.00099999999998</v>
      </c>
      <c r="C61" s="12">
        <v>5</v>
      </c>
      <c r="D61" s="13" t="e">
        <f t="shared" ca="1" si="5"/>
        <v>#NAME?</v>
      </c>
      <c r="E61" s="13" t="e">
        <f t="shared" ca="1" si="6"/>
        <v>#NAME?</v>
      </c>
      <c r="F61" s="13" t="e">
        <f t="shared" ca="1" si="7"/>
        <v>#NAME?</v>
      </c>
      <c r="G61" s="13" t="e">
        <f t="shared" ca="1" si="8"/>
        <v>#NAME?</v>
      </c>
    </row>
    <row r="62" spans="2:7" x14ac:dyDescent="0.2">
      <c r="B62" s="12">
        <f t="shared" si="4"/>
        <v>615.00099999999998</v>
      </c>
      <c r="C62" s="12">
        <v>5</v>
      </c>
      <c r="D62" s="13" t="e">
        <f t="shared" ca="1" si="5"/>
        <v>#NAME?</v>
      </c>
      <c r="E62" s="13" t="e">
        <f t="shared" ca="1" si="6"/>
        <v>#NAME?</v>
      </c>
      <c r="F62" s="13" t="e">
        <f t="shared" ca="1" si="7"/>
        <v>#NAME?</v>
      </c>
      <c r="G62" s="13" t="e">
        <f t="shared" ca="1" si="8"/>
        <v>#NAME?</v>
      </c>
    </row>
    <row r="63" spans="2:7" x14ac:dyDescent="0.2">
      <c r="B63" s="12">
        <f t="shared" si="4"/>
        <v>630.00099999999998</v>
      </c>
      <c r="C63" s="12">
        <v>5</v>
      </c>
      <c r="D63" s="13" t="e">
        <f t="shared" ca="1" si="5"/>
        <v>#NAME?</v>
      </c>
      <c r="E63" s="13" t="e">
        <f t="shared" ca="1" si="6"/>
        <v>#NAME?</v>
      </c>
      <c r="F63" s="13" t="e">
        <f t="shared" ca="1" si="7"/>
        <v>#NAME?</v>
      </c>
      <c r="G63" s="13" t="e">
        <f t="shared" ca="1" si="8"/>
        <v>#NAME?</v>
      </c>
    </row>
    <row r="64" spans="2:7" x14ac:dyDescent="0.2">
      <c r="B64" s="12">
        <f t="shared" si="4"/>
        <v>645.00099999999998</v>
      </c>
      <c r="C64" s="12">
        <v>5</v>
      </c>
      <c r="D64" s="13" t="e">
        <f t="shared" ca="1" si="5"/>
        <v>#NAME?</v>
      </c>
      <c r="E64" s="13" t="e">
        <f t="shared" ca="1" si="6"/>
        <v>#NAME?</v>
      </c>
      <c r="F64" s="13" t="e">
        <f t="shared" ca="1" si="7"/>
        <v>#NAME?</v>
      </c>
      <c r="G64" s="13" t="e">
        <f t="shared" ca="1" si="8"/>
        <v>#NAME?</v>
      </c>
    </row>
    <row r="65" spans="2:7" x14ac:dyDescent="0.2">
      <c r="B65" s="12">
        <f t="shared" si="4"/>
        <v>660.00099999999998</v>
      </c>
      <c r="C65" s="12">
        <v>5</v>
      </c>
      <c r="D65" s="13" t="e">
        <f t="shared" ca="1" si="5"/>
        <v>#NAME?</v>
      </c>
      <c r="E65" s="13" t="e">
        <f t="shared" ca="1" si="6"/>
        <v>#NAME?</v>
      </c>
      <c r="F65" s="13" t="e">
        <f t="shared" ca="1" si="7"/>
        <v>#NAME?</v>
      </c>
      <c r="G65" s="13" t="e">
        <f t="shared" ca="1" si="8"/>
        <v>#NAME?</v>
      </c>
    </row>
    <row r="66" spans="2:7" x14ac:dyDescent="0.2">
      <c r="B66" s="12">
        <f t="shared" si="4"/>
        <v>675.00099999999998</v>
      </c>
      <c r="C66" s="12">
        <v>5</v>
      </c>
      <c r="D66" s="13" t="e">
        <f t="shared" ca="1" si="5"/>
        <v>#NAME?</v>
      </c>
      <c r="E66" s="13" t="e">
        <f t="shared" ca="1" si="6"/>
        <v>#NAME?</v>
      </c>
      <c r="F66" s="13" t="e">
        <f t="shared" ca="1" si="7"/>
        <v>#NAME?</v>
      </c>
      <c r="G66" s="13" t="e">
        <f t="shared" ca="1" si="8"/>
        <v>#NAME?</v>
      </c>
    </row>
    <row r="67" spans="2:7" x14ac:dyDescent="0.2">
      <c r="B67" s="12">
        <f t="shared" si="4"/>
        <v>690.00099999999998</v>
      </c>
      <c r="C67" s="12">
        <v>5</v>
      </c>
      <c r="D67" s="13" t="e">
        <f t="shared" ca="1" si="5"/>
        <v>#NAME?</v>
      </c>
      <c r="E67" s="13" t="e">
        <f t="shared" ca="1" si="6"/>
        <v>#NAME?</v>
      </c>
      <c r="F67" s="13" t="e">
        <f t="shared" ca="1" si="7"/>
        <v>#NAME?</v>
      </c>
      <c r="G67" s="13" t="e">
        <f t="shared" ca="1" si="8"/>
        <v>#NAME?</v>
      </c>
    </row>
    <row r="68" spans="2:7" x14ac:dyDescent="0.2">
      <c r="B68" s="12">
        <f t="shared" si="4"/>
        <v>705.00099999999998</v>
      </c>
      <c r="C68" s="12">
        <v>5</v>
      </c>
      <c r="D68" s="13" t="e">
        <f t="shared" ca="1" si="5"/>
        <v>#NAME?</v>
      </c>
      <c r="E68" s="13" t="e">
        <f t="shared" ca="1" si="6"/>
        <v>#NAME?</v>
      </c>
      <c r="F68" s="13" t="e">
        <f t="shared" ca="1" si="7"/>
        <v>#NAME?</v>
      </c>
      <c r="G68" s="13" t="e">
        <f t="shared" ca="1" si="8"/>
        <v>#NAME?</v>
      </c>
    </row>
    <row r="69" spans="2:7" x14ac:dyDescent="0.2">
      <c r="B69" s="12">
        <f t="shared" si="4"/>
        <v>720.00099999999998</v>
      </c>
      <c r="C69" s="12">
        <v>5</v>
      </c>
      <c r="D69" s="13" t="e">
        <f t="shared" ca="1" si="5"/>
        <v>#NAME?</v>
      </c>
      <c r="E69" s="13" t="e">
        <f t="shared" ca="1" si="6"/>
        <v>#NAME?</v>
      </c>
      <c r="F69" s="13" t="e">
        <f t="shared" ca="1" si="7"/>
        <v>#NAME?</v>
      </c>
      <c r="G69" s="13" t="e">
        <f t="shared" ca="1" si="8"/>
        <v>#NAME?</v>
      </c>
    </row>
    <row r="70" spans="2:7" x14ac:dyDescent="0.2">
      <c r="B70" s="12">
        <f t="shared" si="4"/>
        <v>735.00099999999998</v>
      </c>
      <c r="C70" s="12">
        <v>5</v>
      </c>
      <c r="D70" s="13" t="e">
        <f t="shared" ca="1" si="5"/>
        <v>#NAME?</v>
      </c>
      <c r="E70" s="13" t="e">
        <f t="shared" ca="1" si="6"/>
        <v>#NAME?</v>
      </c>
      <c r="F70" s="13" t="e">
        <f t="shared" ca="1" si="7"/>
        <v>#NAME?</v>
      </c>
      <c r="G70" s="13" t="e">
        <f t="shared" ca="1" si="8"/>
        <v>#NAME?</v>
      </c>
    </row>
    <row r="71" spans="2:7" x14ac:dyDescent="0.2">
      <c r="B71" s="12">
        <f t="shared" si="4"/>
        <v>750.00099999999998</v>
      </c>
      <c r="C71" s="12">
        <v>5</v>
      </c>
      <c r="D71" s="13" t="e">
        <f t="shared" ca="1" si="5"/>
        <v>#NAME?</v>
      </c>
      <c r="E71" s="13" t="e">
        <f t="shared" ca="1" si="6"/>
        <v>#NAME?</v>
      </c>
      <c r="F71" s="13" t="e">
        <f t="shared" ca="1" si="7"/>
        <v>#NAME?</v>
      </c>
      <c r="G71" s="13" t="e">
        <f t="shared" ca="1" si="8"/>
        <v>#NAME?</v>
      </c>
    </row>
    <row r="72" spans="2:7" x14ac:dyDescent="0.2">
      <c r="B72" s="12">
        <f t="shared" si="4"/>
        <v>765.00099999999998</v>
      </c>
      <c r="C72" s="12">
        <v>5</v>
      </c>
      <c r="D72" s="13" t="e">
        <f t="shared" ca="1" si="5"/>
        <v>#NAME?</v>
      </c>
      <c r="E72" s="13" t="e">
        <f t="shared" ca="1" si="6"/>
        <v>#NAME?</v>
      </c>
      <c r="F72" s="13" t="e">
        <f t="shared" ca="1" si="7"/>
        <v>#NAME?</v>
      </c>
      <c r="G72" s="13" t="e">
        <f t="shared" ca="1" si="8"/>
        <v>#NAME?</v>
      </c>
    </row>
    <row r="73" spans="2:7" x14ac:dyDescent="0.2">
      <c r="B73" s="12">
        <f t="shared" si="4"/>
        <v>780.00099999999998</v>
      </c>
      <c r="C73" s="12">
        <v>5</v>
      </c>
      <c r="D73" s="13" t="e">
        <f t="shared" ca="1" si="5"/>
        <v>#NAME?</v>
      </c>
      <c r="E73" s="13" t="e">
        <f t="shared" ca="1" si="6"/>
        <v>#NAME?</v>
      </c>
      <c r="F73" s="13" t="e">
        <f t="shared" ca="1" si="7"/>
        <v>#NAME?</v>
      </c>
      <c r="G73" s="13" t="e">
        <f t="shared" ca="1" si="8"/>
        <v>#NAME?</v>
      </c>
    </row>
    <row r="74" spans="2:7" x14ac:dyDescent="0.2">
      <c r="B74" s="12">
        <f t="shared" si="4"/>
        <v>795.00099999999998</v>
      </c>
      <c r="C74" s="12">
        <v>5</v>
      </c>
      <c r="D74" s="13" t="e">
        <f t="shared" ca="1" si="5"/>
        <v>#NAME?</v>
      </c>
      <c r="E74" s="13" t="e">
        <f t="shared" ca="1" si="6"/>
        <v>#NAME?</v>
      </c>
      <c r="F74" s="13" t="e">
        <f t="shared" ca="1" si="7"/>
        <v>#NAME?</v>
      </c>
      <c r="G74" s="13" t="e">
        <f t="shared" ca="1" si="8"/>
        <v>#NAME?</v>
      </c>
    </row>
    <row r="75" spans="2:7" x14ac:dyDescent="0.2">
      <c r="B75" s="12">
        <f t="shared" si="4"/>
        <v>810.00099999999998</v>
      </c>
      <c r="C75" s="12">
        <v>5</v>
      </c>
      <c r="D75" s="13" t="e">
        <f t="shared" ca="1" si="5"/>
        <v>#NAME?</v>
      </c>
      <c r="E75" s="13" t="e">
        <f t="shared" ca="1" si="6"/>
        <v>#NAME?</v>
      </c>
      <c r="F75" s="13" t="e">
        <f t="shared" ca="1" si="7"/>
        <v>#NAME?</v>
      </c>
      <c r="G75" s="13" t="e">
        <f t="shared" ca="1" si="8"/>
        <v>#NAME?</v>
      </c>
    </row>
    <row r="76" spans="2:7" x14ac:dyDescent="0.2">
      <c r="B76" s="12">
        <f t="shared" si="4"/>
        <v>825.00099999999998</v>
      </c>
      <c r="C76" s="12">
        <v>5</v>
      </c>
      <c r="D76" s="13" t="e">
        <f t="shared" ca="1" si="5"/>
        <v>#NAME?</v>
      </c>
      <c r="E76" s="13" t="e">
        <f t="shared" ca="1" si="6"/>
        <v>#NAME?</v>
      </c>
      <c r="F76" s="13" t="e">
        <f t="shared" ca="1" si="7"/>
        <v>#NAME?</v>
      </c>
      <c r="G76" s="13" t="e">
        <f t="shared" ca="1" si="8"/>
        <v>#NAME?</v>
      </c>
    </row>
    <row r="77" spans="2:7" x14ac:dyDescent="0.2">
      <c r="B77" s="12">
        <f t="shared" si="4"/>
        <v>840.00099999999998</v>
      </c>
      <c r="C77" s="12">
        <v>5</v>
      </c>
      <c r="D77" s="13" t="e">
        <f t="shared" ca="1" si="5"/>
        <v>#NAME?</v>
      </c>
      <c r="E77" s="13" t="e">
        <f t="shared" ca="1" si="6"/>
        <v>#NAME?</v>
      </c>
      <c r="F77" s="13" t="e">
        <f t="shared" ca="1" si="7"/>
        <v>#NAME?</v>
      </c>
      <c r="G77" s="13" t="e">
        <f t="shared" ca="1" si="8"/>
        <v>#NAME?</v>
      </c>
    </row>
    <row r="78" spans="2:7" x14ac:dyDescent="0.2">
      <c r="B78" s="12">
        <f t="shared" si="4"/>
        <v>855.00099999999998</v>
      </c>
      <c r="C78" s="12">
        <v>5</v>
      </c>
      <c r="D78" s="13" t="e">
        <f t="shared" ca="1" si="5"/>
        <v>#NAME?</v>
      </c>
      <c r="E78" s="13" t="e">
        <f t="shared" ca="1" si="6"/>
        <v>#NAME?</v>
      </c>
      <c r="F78" s="13" t="e">
        <f t="shared" ca="1" si="7"/>
        <v>#NAME?</v>
      </c>
      <c r="G78" s="13" t="e">
        <f t="shared" ca="1" si="8"/>
        <v>#NAME?</v>
      </c>
    </row>
    <row r="79" spans="2:7" x14ac:dyDescent="0.2">
      <c r="B79" s="12">
        <f t="shared" si="4"/>
        <v>870.00099999999998</v>
      </c>
      <c r="C79" s="12">
        <v>5</v>
      </c>
      <c r="D79" s="13" t="e">
        <f t="shared" ca="1" si="5"/>
        <v>#NAME?</v>
      </c>
      <c r="E79" s="13" t="e">
        <f t="shared" ca="1" si="6"/>
        <v>#NAME?</v>
      </c>
      <c r="F79" s="13" t="e">
        <f t="shared" ca="1" si="7"/>
        <v>#NAME?</v>
      </c>
      <c r="G79" s="13" t="e">
        <f t="shared" ca="1" si="8"/>
        <v>#NAME?</v>
      </c>
    </row>
    <row r="80" spans="2:7" x14ac:dyDescent="0.2">
      <c r="B80" s="12">
        <f t="shared" si="4"/>
        <v>885.00099999999998</v>
      </c>
      <c r="C80" s="12">
        <v>5</v>
      </c>
      <c r="D80" s="13" t="e">
        <f t="shared" ca="1" si="5"/>
        <v>#NAME?</v>
      </c>
      <c r="E80" s="13" t="e">
        <f t="shared" ca="1" si="6"/>
        <v>#NAME?</v>
      </c>
      <c r="F80" s="13" t="e">
        <f t="shared" ca="1" si="7"/>
        <v>#NAME?</v>
      </c>
      <c r="G80" s="13" t="e">
        <f t="shared" ca="1" si="8"/>
        <v>#NAME?</v>
      </c>
    </row>
    <row r="81" spans="2:7" x14ac:dyDescent="0.2">
      <c r="B81" s="12">
        <f t="shared" si="4"/>
        <v>900.00099999999998</v>
      </c>
      <c r="C81" s="12">
        <v>5</v>
      </c>
      <c r="D81" s="13" t="e">
        <f t="shared" ca="1" si="5"/>
        <v>#NAME?</v>
      </c>
      <c r="E81" s="13" t="e">
        <f t="shared" ca="1" si="6"/>
        <v>#NAME?</v>
      </c>
      <c r="F81" s="13" t="e">
        <f t="shared" ca="1" si="7"/>
        <v>#NAME?</v>
      </c>
      <c r="G81" s="13" t="e">
        <f t="shared" ca="1" si="8"/>
        <v>#NAME?</v>
      </c>
    </row>
    <row r="82" spans="2:7" x14ac:dyDescent="0.2">
      <c r="B82" s="12">
        <f t="shared" si="4"/>
        <v>915.00099999999998</v>
      </c>
      <c r="C82" s="12">
        <v>5</v>
      </c>
      <c r="D82" s="13" t="e">
        <f t="shared" ca="1" si="5"/>
        <v>#NAME?</v>
      </c>
      <c r="E82" s="13" t="e">
        <f t="shared" ca="1" si="6"/>
        <v>#NAME?</v>
      </c>
      <c r="F82" s="13" t="e">
        <f t="shared" ca="1" si="7"/>
        <v>#NAME?</v>
      </c>
      <c r="G82" s="13" t="e">
        <f t="shared" ca="1" si="8"/>
        <v>#NAME?</v>
      </c>
    </row>
    <row r="83" spans="2:7" x14ac:dyDescent="0.2">
      <c r="B83" s="12">
        <f t="shared" si="4"/>
        <v>930.00099999999998</v>
      </c>
      <c r="C83" s="12">
        <v>5</v>
      </c>
      <c r="D83" s="13" t="e">
        <f t="shared" ca="1" si="5"/>
        <v>#NAME?</v>
      </c>
      <c r="E83" s="13" t="e">
        <f t="shared" ca="1" si="6"/>
        <v>#NAME?</v>
      </c>
      <c r="F83" s="13" t="e">
        <f t="shared" ca="1" si="7"/>
        <v>#NAME?</v>
      </c>
      <c r="G83" s="13" t="e">
        <f t="shared" ca="1" si="8"/>
        <v>#NAME?</v>
      </c>
    </row>
    <row r="84" spans="2:7" x14ac:dyDescent="0.2">
      <c r="B84" s="12">
        <f t="shared" si="4"/>
        <v>945.00099999999998</v>
      </c>
      <c r="C84" s="12">
        <v>5</v>
      </c>
      <c r="D84" s="13" t="e">
        <f t="shared" ca="1" si="5"/>
        <v>#NAME?</v>
      </c>
      <c r="E84" s="13" t="e">
        <f t="shared" ca="1" si="6"/>
        <v>#NAME?</v>
      </c>
      <c r="F84" s="13" t="e">
        <f t="shared" ca="1" si="7"/>
        <v>#NAME?</v>
      </c>
      <c r="G84" s="13" t="e">
        <f t="shared" ca="1" si="8"/>
        <v>#NAME?</v>
      </c>
    </row>
    <row r="85" spans="2:7" x14ac:dyDescent="0.2">
      <c r="B85" s="12">
        <f t="shared" si="4"/>
        <v>960.00099999999998</v>
      </c>
      <c r="C85" s="12">
        <v>5</v>
      </c>
      <c r="D85" s="13" t="e">
        <f t="shared" ref="D85:D116" ca="1" si="9">mim(C85/Lref,v*B85/Lref,to,P,beta,omega,RF,_mu1,_mu2,"Resident","Mobile",Ci,Co,log,method,Nint,tol)</f>
        <v>#NAME?</v>
      </c>
      <c r="E85" s="13" t="e">
        <f t="shared" ref="E85:E121" ca="1" si="10">mim(C85/Lref,v*B85/Lref,to,P,beta,omega,RF,_mu1,_mu2,"Resident","Immobile",Ci,Co,log,method,Nint,tol)</f>
        <v>#NAME?</v>
      </c>
      <c r="F85" s="13" t="e">
        <f t="shared" ref="F85:F116" ca="1" si="11">D85*f_m_water+(1-f_m_water)*E85</f>
        <v>#NAME?</v>
      </c>
      <c r="G85" s="13" t="e">
        <f t="shared" ref="G85:G121" ca="1" si="12">mim(C85/Lref,v*B85/Lref,to,P,beta,omega,RF,_mu1,_mu2,"Flux","Mobile",Ci,Co,log,method,Nint,tol)</f>
        <v>#NAME?</v>
      </c>
    </row>
    <row r="86" spans="2:7" x14ac:dyDescent="0.2">
      <c r="B86" s="12">
        <f t="shared" si="4"/>
        <v>975.00099999999998</v>
      </c>
      <c r="C86" s="12">
        <v>5</v>
      </c>
      <c r="D86" s="13" t="e">
        <f t="shared" ca="1" si="9"/>
        <v>#NAME?</v>
      </c>
      <c r="E86" s="13" t="e">
        <f t="shared" ca="1" si="10"/>
        <v>#NAME?</v>
      </c>
      <c r="F86" s="13" t="e">
        <f t="shared" ca="1" si="11"/>
        <v>#NAME?</v>
      </c>
      <c r="G86" s="13" t="e">
        <f t="shared" ca="1" si="12"/>
        <v>#NAME?</v>
      </c>
    </row>
    <row r="87" spans="2:7" x14ac:dyDescent="0.2">
      <c r="B87" s="12">
        <f t="shared" ref="B87:B121" si="13">B86+15</f>
        <v>990.00099999999998</v>
      </c>
      <c r="C87" s="12">
        <v>5</v>
      </c>
      <c r="D87" s="13" t="e">
        <f t="shared" ca="1" si="9"/>
        <v>#NAME?</v>
      </c>
      <c r="E87" s="13" t="e">
        <f t="shared" ca="1" si="10"/>
        <v>#NAME?</v>
      </c>
      <c r="F87" s="13" t="e">
        <f t="shared" ca="1" si="11"/>
        <v>#NAME?</v>
      </c>
      <c r="G87" s="13" t="e">
        <f t="shared" ca="1" si="12"/>
        <v>#NAME?</v>
      </c>
    </row>
    <row r="88" spans="2:7" x14ac:dyDescent="0.2">
      <c r="B88" s="12">
        <f t="shared" si="13"/>
        <v>1005.001</v>
      </c>
      <c r="C88" s="12">
        <v>5</v>
      </c>
      <c r="D88" s="13" t="e">
        <f t="shared" ca="1" si="9"/>
        <v>#NAME?</v>
      </c>
      <c r="E88" s="13" t="e">
        <f t="shared" ca="1" si="10"/>
        <v>#NAME?</v>
      </c>
      <c r="F88" s="13" t="e">
        <f t="shared" ca="1" si="11"/>
        <v>#NAME?</v>
      </c>
      <c r="G88" s="13" t="e">
        <f t="shared" ca="1" si="12"/>
        <v>#NAME?</v>
      </c>
    </row>
    <row r="89" spans="2:7" x14ac:dyDescent="0.2">
      <c r="B89" s="12">
        <f t="shared" si="13"/>
        <v>1020.001</v>
      </c>
      <c r="C89" s="12">
        <v>5</v>
      </c>
      <c r="D89" s="13" t="e">
        <f t="shared" ca="1" si="9"/>
        <v>#NAME?</v>
      </c>
      <c r="E89" s="13" t="e">
        <f t="shared" ca="1" si="10"/>
        <v>#NAME?</v>
      </c>
      <c r="F89" s="13" t="e">
        <f t="shared" ca="1" si="11"/>
        <v>#NAME?</v>
      </c>
      <c r="G89" s="13" t="e">
        <f t="shared" ca="1" si="12"/>
        <v>#NAME?</v>
      </c>
    </row>
    <row r="90" spans="2:7" x14ac:dyDescent="0.2">
      <c r="B90" s="12">
        <f t="shared" si="13"/>
        <v>1035.001</v>
      </c>
      <c r="C90" s="12">
        <v>5</v>
      </c>
      <c r="D90" s="13" t="e">
        <f t="shared" ca="1" si="9"/>
        <v>#NAME?</v>
      </c>
      <c r="E90" s="13" t="e">
        <f t="shared" ca="1" si="10"/>
        <v>#NAME?</v>
      </c>
      <c r="F90" s="13" t="e">
        <f t="shared" ca="1" si="11"/>
        <v>#NAME?</v>
      </c>
      <c r="G90" s="13" t="e">
        <f t="shared" ca="1" si="12"/>
        <v>#NAME?</v>
      </c>
    </row>
    <row r="91" spans="2:7" x14ac:dyDescent="0.2">
      <c r="B91" s="12">
        <f t="shared" si="13"/>
        <v>1050.001</v>
      </c>
      <c r="C91" s="12">
        <v>5</v>
      </c>
      <c r="D91" s="13" t="e">
        <f t="shared" ca="1" si="9"/>
        <v>#NAME?</v>
      </c>
      <c r="E91" s="13" t="e">
        <f t="shared" ca="1" si="10"/>
        <v>#NAME?</v>
      </c>
      <c r="F91" s="13" t="e">
        <f t="shared" ca="1" si="11"/>
        <v>#NAME?</v>
      </c>
      <c r="G91" s="13" t="e">
        <f t="shared" ca="1" si="12"/>
        <v>#NAME?</v>
      </c>
    </row>
    <row r="92" spans="2:7" x14ac:dyDescent="0.2">
      <c r="B92" s="12">
        <f t="shared" si="13"/>
        <v>1065.001</v>
      </c>
      <c r="C92" s="12">
        <v>5</v>
      </c>
      <c r="D92" s="13" t="e">
        <f t="shared" ca="1" si="9"/>
        <v>#NAME?</v>
      </c>
      <c r="E92" s="13" t="e">
        <f t="shared" ca="1" si="10"/>
        <v>#NAME?</v>
      </c>
      <c r="F92" s="13" t="e">
        <f t="shared" ca="1" si="11"/>
        <v>#NAME?</v>
      </c>
      <c r="G92" s="13" t="e">
        <f t="shared" ca="1" si="12"/>
        <v>#NAME?</v>
      </c>
    </row>
    <row r="93" spans="2:7" x14ac:dyDescent="0.2">
      <c r="B93" s="12">
        <f t="shared" si="13"/>
        <v>1080.001</v>
      </c>
      <c r="C93" s="12">
        <v>5</v>
      </c>
      <c r="D93" s="13" t="e">
        <f t="shared" ca="1" si="9"/>
        <v>#NAME?</v>
      </c>
      <c r="E93" s="13" t="e">
        <f t="shared" ca="1" si="10"/>
        <v>#NAME?</v>
      </c>
      <c r="F93" s="13" t="e">
        <f t="shared" ca="1" si="11"/>
        <v>#NAME?</v>
      </c>
      <c r="G93" s="13" t="e">
        <f t="shared" ca="1" si="12"/>
        <v>#NAME?</v>
      </c>
    </row>
    <row r="94" spans="2:7" x14ac:dyDescent="0.2">
      <c r="B94" s="12">
        <f t="shared" si="13"/>
        <v>1095.001</v>
      </c>
      <c r="C94" s="12">
        <v>5</v>
      </c>
      <c r="D94" s="13" t="e">
        <f t="shared" ca="1" si="9"/>
        <v>#NAME?</v>
      </c>
      <c r="E94" s="13" t="e">
        <f t="shared" ca="1" si="10"/>
        <v>#NAME?</v>
      </c>
      <c r="F94" s="13" t="e">
        <f t="shared" ca="1" si="11"/>
        <v>#NAME?</v>
      </c>
      <c r="G94" s="13" t="e">
        <f t="shared" ca="1" si="12"/>
        <v>#NAME?</v>
      </c>
    </row>
    <row r="95" spans="2:7" x14ac:dyDescent="0.2">
      <c r="B95" s="12">
        <f t="shared" si="13"/>
        <v>1110.001</v>
      </c>
      <c r="C95" s="12">
        <v>5</v>
      </c>
      <c r="D95" s="13" t="e">
        <f t="shared" ca="1" si="9"/>
        <v>#NAME?</v>
      </c>
      <c r="E95" s="13" t="e">
        <f t="shared" ca="1" si="10"/>
        <v>#NAME?</v>
      </c>
      <c r="F95" s="13" t="e">
        <f t="shared" ca="1" si="11"/>
        <v>#NAME?</v>
      </c>
      <c r="G95" s="13" t="e">
        <f t="shared" ca="1" si="12"/>
        <v>#NAME?</v>
      </c>
    </row>
    <row r="96" spans="2:7" x14ac:dyDescent="0.2">
      <c r="B96" s="12">
        <f t="shared" si="13"/>
        <v>1125.001</v>
      </c>
      <c r="C96" s="12">
        <v>5</v>
      </c>
      <c r="D96" s="13" t="e">
        <f t="shared" ca="1" si="9"/>
        <v>#NAME?</v>
      </c>
      <c r="E96" s="13" t="e">
        <f t="shared" ca="1" si="10"/>
        <v>#NAME?</v>
      </c>
      <c r="F96" s="13" t="e">
        <f t="shared" ca="1" si="11"/>
        <v>#NAME?</v>
      </c>
      <c r="G96" s="13" t="e">
        <f t="shared" ca="1" si="12"/>
        <v>#NAME?</v>
      </c>
    </row>
    <row r="97" spans="2:7" x14ac:dyDescent="0.2">
      <c r="B97" s="12">
        <f t="shared" si="13"/>
        <v>1140.001</v>
      </c>
      <c r="C97" s="12">
        <v>5</v>
      </c>
      <c r="D97" s="13" t="e">
        <f t="shared" ca="1" si="9"/>
        <v>#NAME?</v>
      </c>
      <c r="E97" s="13" t="e">
        <f t="shared" ca="1" si="10"/>
        <v>#NAME?</v>
      </c>
      <c r="F97" s="13" t="e">
        <f t="shared" ca="1" si="11"/>
        <v>#NAME?</v>
      </c>
      <c r="G97" s="13" t="e">
        <f t="shared" ca="1" si="12"/>
        <v>#NAME?</v>
      </c>
    </row>
    <row r="98" spans="2:7" x14ac:dyDescent="0.2">
      <c r="B98" s="12">
        <f t="shared" si="13"/>
        <v>1155.001</v>
      </c>
      <c r="C98" s="12">
        <v>5</v>
      </c>
      <c r="D98" s="13" t="e">
        <f t="shared" ca="1" si="9"/>
        <v>#NAME?</v>
      </c>
      <c r="E98" s="13" t="e">
        <f t="shared" ca="1" si="10"/>
        <v>#NAME?</v>
      </c>
      <c r="F98" s="13" t="e">
        <f t="shared" ca="1" si="11"/>
        <v>#NAME?</v>
      </c>
      <c r="G98" s="13" t="e">
        <f t="shared" ca="1" si="12"/>
        <v>#NAME?</v>
      </c>
    </row>
    <row r="99" spans="2:7" x14ac:dyDescent="0.2">
      <c r="B99" s="12">
        <f t="shared" si="13"/>
        <v>1170.001</v>
      </c>
      <c r="C99" s="12">
        <v>5</v>
      </c>
      <c r="D99" s="13" t="e">
        <f t="shared" ca="1" si="9"/>
        <v>#NAME?</v>
      </c>
      <c r="E99" s="13" t="e">
        <f t="shared" ca="1" si="10"/>
        <v>#NAME?</v>
      </c>
      <c r="F99" s="13" t="e">
        <f t="shared" ca="1" si="11"/>
        <v>#NAME?</v>
      </c>
      <c r="G99" s="13" t="e">
        <f t="shared" ca="1" si="12"/>
        <v>#NAME?</v>
      </c>
    </row>
    <row r="100" spans="2:7" x14ac:dyDescent="0.2">
      <c r="B100" s="12">
        <f t="shared" si="13"/>
        <v>1185.001</v>
      </c>
      <c r="C100" s="12">
        <v>5</v>
      </c>
      <c r="D100" s="13" t="e">
        <f t="shared" ca="1" si="9"/>
        <v>#NAME?</v>
      </c>
      <c r="E100" s="13" t="e">
        <f t="shared" ca="1" si="10"/>
        <v>#NAME?</v>
      </c>
      <c r="F100" s="13" t="e">
        <f t="shared" ca="1" si="11"/>
        <v>#NAME?</v>
      </c>
      <c r="G100" s="13" t="e">
        <f t="shared" ca="1" si="12"/>
        <v>#NAME?</v>
      </c>
    </row>
    <row r="101" spans="2:7" x14ac:dyDescent="0.2">
      <c r="B101" s="12">
        <f t="shared" si="13"/>
        <v>1200.001</v>
      </c>
      <c r="C101" s="12">
        <v>5</v>
      </c>
      <c r="D101" s="13" t="e">
        <f t="shared" ca="1" si="9"/>
        <v>#NAME?</v>
      </c>
      <c r="E101" s="13" t="e">
        <f t="shared" ca="1" si="10"/>
        <v>#NAME?</v>
      </c>
      <c r="F101" s="13" t="e">
        <f t="shared" ca="1" si="11"/>
        <v>#NAME?</v>
      </c>
      <c r="G101" s="13" t="e">
        <f t="shared" ca="1" si="12"/>
        <v>#NAME?</v>
      </c>
    </row>
    <row r="102" spans="2:7" x14ac:dyDescent="0.2">
      <c r="B102" s="12">
        <f t="shared" si="13"/>
        <v>1215.001</v>
      </c>
      <c r="C102" s="12">
        <v>5</v>
      </c>
      <c r="D102" s="13" t="e">
        <f t="shared" ca="1" si="9"/>
        <v>#NAME?</v>
      </c>
      <c r="E102" s="13" t="e">
        <f t="shared" ca="1" si="10"/>
        <v>#NAME?</v>
      </c>
      <c r="F102" s="13" t="e">
        <f t="shared" ca="1" si="11"/>
        <v>#NAME?</v>
      </c>
      <c r="G102" s="13" t="e">
        <f t="shared" ca="1" si="12"/>
        <v>#NAME?</v>
      </c>
    </row>
    <row r="103" spans="2:7" x14ac:dyDescent="0.2">
      <c r="B103" s="12">
        <f t="shared" si="13"/>
        <v>1230.001</v>
      </c>
      <c r="C103" s="12">
        <v>5</v>
      </c>
      <c r="D103" s="13" t="e">
        <f t="shared" ca="1" si="9"/>
        <v>#NAME?</v>
      </c>
      <c r="E103" s="13" t="e">
        <f t="shared" ca="1" si="10"/>
        <v>#NAME?</v>
      </c>
      <c r="F103" s="13" t="e">
        <f t="shared" ca="1" si="11"/>
        <v>#NAME?</v>
      </c>
      <c r="G103" s="13" t="e">
        <f t="shared" ca="1" si="12"/>
        <v>#NAME?</v>
      </c>
    </row>
    <row r="104" spans="2:7" x14ac:dyDescent="0.2">
      <c r="B104" s="12">
        <f t="shared" si="13"/>
        <v>1245.001</v>
      </c>
      <c r="C104" s="12">
        <v>5</v>
      </c>
      <c r="D104" s="13" t="e">
        <f t="shared" ca="1" si="9"/>
        <v>#NAME?</v>
      </c>
      <c r="E104" s="13" t="e">
        <f t="shared" ca="1" si="10"/>
        <v>#NAME?</v>
      </c>
      <c r="F104" s="13" t="e">
        <f t="shared" ca="1" si="11"/>
        <v>#NAME?</v>
      </c>
      <c r="G104" s="13" t="e">
        <f t="shared" ca="1" si="12"/>
        <v>#NAME?</v>
      </c>
    </row>
    <row r="105" spans="2:7" x14ac:dyDescent="0.2">
      <c r="B105" s="12">
        <f t="shared" si="13"/>
        <v>1260.001</v>
      </c>
      <c r="C105" s="12">
        <v>5</v>
      </c>
      <c r="D105" s="13" t="e">
        <f t="shared" ca="1" si="9"/>
        <v>#NAME?</v>
      </c>
      <c r="E105" s="13" t="e">
        <f t="shared" ca="1" si="10"/>
        <v>#NAME?</v>
      </c>
      <c r="F105" s="13" t="e">
        <f t="shared" ca="1" si="11"/>
        <v>#NAME?</v>
      </c>
      <c r="G105" s="13" t="e">
        <f t="shared" ca="1" si="12"/>
        <v>#NAME?</v>
      </c>
    </row>
    <row r="106" spans="2:7" x14ac:dyDescent="0.2">
      <c r="B106" s="12">
        <f t="shared" si="13"/>
        <v>1275.001</v>
      </c>
      <c r="C106" s="12">
        <v>5</v>
      </c>
      <c r="D106" s="13" t="e">
        <f t="shared" ca="1" si="9"/>
        <v>#NAME?</v>
      </c>
      <c r="E106" s="13" t="e">
        <f t="shared" ca="1" si="10"/>
        <v>#NAME?</v>
      </c>
      <c r="F106" s="13" t="e">
        <f t="shared" ca="1" si="11"/>
        <v>#NAME?</v>
      </c>
      <c r="G106" s="13" t="e">
        <f t="shared" ca="1" si="12"/>
        <v>#NAME?</v>
      </c>
    </row>
    <row r="107" spans="2:7" x14ac:dyDescent="0.2">
      <c r="B107" s="12">
        <f t="shared" si="13"/>
        <v>1290.001</v>
      </c>
      <c r="C107" s="12">
        <v>5</v>
      </c>
      <c r="D107" s="13" t="e">
        <f t="shared" ca="1" si="9"/>
        <v>#NAME?</v>
      </c>
      <c r="E107" s="13" t="e">
        <f t="shared" ca="1" si="10"/>
        <v>#NAME?</v>
      </c>
      <c r="F107" s="13" t="e">
        <f t="shared" ca="1" si="11"/>
        <v>#NAME?</v>
      </c>
      <c r="G107" s="13" t="e">
        <f t="shared" ca="1" si="12"/>
        <v>#NAME?</v>
      </c>
    </row>
    <row r="108" spans="2:7" x14ac:dyDescent="0.2">
      <c r="B108" s="12">
        <f t="shared" si="13"/>
        <v>1305.001</v>
      </c>
      <c r="C108" s="12">
        <v>5</v>
      </c>
      <c r="D108" s="13" t="e">
        <f t="shared" ca="1" si="9"/>
        <v>#NAME?</v>
      </c>
      <c r="E108" s="13" t="e">
        <f t="shared" ca="1" si="10"/>
        <v>#NAME?</v>
      </c>
      <c r="F108" s="13" t="e">
        <f t="shared" ca="1" si="11"/>
        <v>#NAME?</v>
      </c>
      <c r="G108" s="13" t="e">
        <f t="shared" ca="1" si="12"/>
        <v>#NAME?</v>
      </c>
    </row>
    <row r="109" spans="2:7" x14ac:dyDescent="0.2">
      <c r="B109" s="12">
        <f t="shared" si="13"/>
        <v>1320.001</v>
      </c>
      <c r="C109" s="12">
        <v>5</v>
      </c>
      <c r="D109" s="13" t="e">
        <f t="shared" ca="1" si="9"/>
        <v>#NAME?</v>
      </c>
      <c r="E109" s="13" t="e">
        <f t="shared" ca="1" si="10"/>
        <v>#NAME?</v>
      </c>
      <c r="F109" s="13" t="e">
        <f t="shared" ca="1" si="11"/>
        <v>#NAME?</v>
      </c>
      <c r="G109" s="13" t="e">
        <f t="shared" ca="1" si="12"/>
        <v>#NAME?</v>
      </c>
    </row>
    <row r="110" spans="2:7" x14ac:dyDescent="0.2">
      <c r="B110" s="12">
        <f t="shared" si="13"/>
        <v>1335.001</v>
      </c>
      <c r="C110" s="12">
        <v>5</v>
      </c>
      <c r="D110" s="13" t="e">
        <f t="shared" ca="1" si="9"/>
        <v>#NAME?</v>
      </c>
      <c r="E110" s="13" t="e">
        <f t="shared" ca="1" si="10"/>
        <v>#NAME?</v>
      </c>
      <c r="F110" s="13" t="e">
        <f t="shared" ca="1" si="11"/>
        <v>#NAME?</v>
      </c>
      <c r="G110" s="13" t="e">
        <f t="shared" ca="1" si="12"/>
        <v>#NAME?</v>
      </c>
    </row>
    <row r="111" spans="2:7" x14ac:dyDescent="0.2">
      <c r="B111" s="12">
        <f t="shared" si="13"/>
        <v>1350.001</v>
      </c>
      <c r="C111" s="12">
        <v>5</v>
      </c>
      <c r="D111" s="13" t="e">
        <f t="shared" ca="1" si="9"/>
        <v>#NAME?</v>
      </c>
      <c r="E111" s="13" t="e">
        <f t="shared" ca="1" si="10"/>
        <v>#NAME?</v>
      </c>
      <c r="F111" s="13" t="e">
        <f t="shared" ca="1" si="11"/>
        <v>#NAME?</v>
      </c>
      <c r="G111" s="13" t="e">
        <f t="shared" ca="1" si="12"/>
        <v>#NAME?</v>
      </c>
    </row>
    <row r="112" spans="2:7" x14ac:dyDescent="0.2">
      <c r="B112" s="12">
        <f t="shared" si="13"/>
        <v>1365.001</v>
      </c>
      <c r="C112" s="12">
        <v>5</v>
      </c>
      <c r="D112" s="13" t="e">
        <f t="shared" ca="1" si="9"/>
        <v>#NAME?</v>
      </c>
      <c r="E112" s="13" t="e">
        <f t="shared" ca="1" si="10"/>
        <v>#NAME?</v>
      </c>
      <c r="F112" s="13" t="e">
        <f t="shared" ca="1" si="11"/>
        <v>#NAME?</v>
      </c>
      <c r="G112" s="13" t="e">
        <f t="shared" ca="1" si="12"/>
        <v>#NAME?</v>
      </c>
    </row>
    <row r="113" spans="2:7" x14ac:dyDescent="0.2">
      <c r="B113" s="12">
        <f t="shared" si="13"/>
        <v>1380.001</v>
      </c>
      <c r="C113" s="12">
        <v>5</v>
      </c>
      <c r="D113" s="13" t="e">
        <f t="shared" ca="1" si="9"/>
        <v>#NAME?</v>
      </c>
      <c r="E113" s="13" t="e">
        <f t="shared" ca="1" si="10"/>
        <v>#NAME?</v>
      </c>
      <c r="F113" s="13" t="e">
        <f t="shared" ca="1" si="11"/>
        <v>#NAME?</v>
      </c>
      <c r="G113" s="13" t="e">
        <f t="shared" ca="1" si="12"/>
        <v>#NAME?</v>
      </c>
    </row>
    <row r="114" spans="2:7" x14ac:dyDescent="0.2">
      <c r="B114" s="12">
        <f t="shared" si="13"/>
        <v>1395.001</v>
      </c>
      <c r="C114" s="12">
        <v>5</v>
      </c>
      <c r="D114" s="13" t="e">
        <f t="shared" ca="1" si="9"/>
        <v>#NAME?</v>
      </c>
      <c r="E114" s="13" t="e">
        <f t="shared" ca="1" si="10"/>
        <v>#NAME?</v>
      </c>
      <c r="F114" s="13" t="e">
        <f t="shared" ca="1" si="11"/>
        <v>#NAME?</v>
      </c>
      <c r="G114" s="13" t="e">
        <f t="shared" ca="1" si="12"/>
        <v>#NAME?</v>
      </c>
    </row>
    <row r="115" spans="2:7" x14ac:dyDescent="0.2">
      <c r="B115" s="12">
        <f t="shared" si="13"/>
        <v>1410.001</v>
      </c>
      <c r="C115" s="12">
        <v>5</v>
      </c>
      <c r="D115" s="13" t="e">
        <f t="shared" ca="1" si="9"/>
        <v>#NAME?</v>
      </c>
      <c r="E115" s="13" t="e">
        <f t="shared" ca="1" si="10"/>
        <v>#NAME?</v>
      </c>
      <c r="F115" s="13" t="e">
        <f t="shared" ca="1" si="11"/>
        <v>#NAME?</v>
      </c>
      <c r="G115" s="13" t="e">
        <f t="shared" ca="1" si="12"/>
        <v>#NAME?</v>
      </c>
    </row>
    <row r="116" spans="2:7" x14ac:dyDescent="0.2">
      <c r="B116" s="12">
        <f t="shared" si="13"/>
        <v>1425.001</v>
      </c>
      <c r="C116" s="12">
        <v>5</v>
      </c>
      <c r="D116" s="13" t="e">
        <f t="shared" ca="1" si="9"/>
        <v>#NAME?</v>
      </c>
      <c r="E116" s="13" t="e">
        <f t="shared" ca="1" si="10"/>
        <v>#NAME?</v>
      </c>
      <c r="F116" s="13" t="e">
        <f t="shared" ca="1" si="11"/>
        <v>#NAME?</v>
      </c>
      <c r="G116" s="13" t="e">
        <f t="shared" ca="1" si="12"/>
        <v>#NAME?</v>
      </c>
    </row>
    <row r="117" spans="2:7" x14ac:dyDescent="0.2">
      <c r="B117" s="12">
        <f t="shared" si="13"/>
        <v>1440.001</v>
      </c>
      <c r="C117" s="12">
        <v>5</v>
      </c>
      <c r="D117" s="13" t="e">
        <f ca="1">mim(C117/Lref,v*B117/Lref,to,P,beta,omega,RF,_mu1,_mu2,"Resident","Mobile",Ci,Co,log,method,Nint,tol)</f>
        <v>#NAME?</v>
      </c>
      <c r="E117" s="13" t="e">
        <f t="shared" ca="1" si="10"/>
        <v>#NAME?</v>
      </c>
      <c r="F117" s="13" t="e">
        <f ca="1">D117*f_m_water+(1-f_m_water)*E117</f>
        <v>#NAME?</v>
      </c>
      <c r="G117" s="13" t="e">
        <f t="shared" ca="1" si="12"/>
        <v>#NAME?</v>
      </c>
    </row>
    <row r="118" spans="2:7" x14ac:dyDescent="0.2">
      <c r="B118" s="12">
        <f t="shared" si="13"/>
        <v>1455.001</v>
      </c>
      <c r="C118" s="12">
        <v>5</v>
      </c>
      <c r="D118" s="13" t="e">
        <f ca="1">mim(C118/Lref,v*B118/Lref,to,P,beta,omega,RF,_mu1,_mu2,"Resident","Mobile",Ci,Co,log,method,Nint,tol)</f>
        <v>#NAME?</v>
      </c>
      <c r="E118" s="13" t="e">
        <f t="shared" ca="1" si="10"/>
        <v>#NAME?</v>
      </c>
      <c r="F118" s="13" t="e">
        <f ca="1">D118*f_m_water+(1-f_m_water)*E118</f>
        <v>#NAME?</v>
      </c>
      <c r="G118" s="13" t="e">
        <f t="shared" ca="1" si="12"/>
        <v>#NAME?</v>
      </c>
    </row>
    <row r="119" spans="2:7" x14ac:dyDescent="0.2">
      <c r="B119" s="12">
        <f t="shared" si="13"/>
        <v>1470.001</v>
      </c>
      <c r="C119" s="12">
        <v>5</v>
      </c>
      <c r="D119" s="13" t="e">
        <f ca="1">mim(C119/Lref,v*B119/Lref,to,P,beta,omega,RF,_mu1,_mu2,"Resident","Mobile",Ci,Co,log,method,Nint,tol)</f>
        <v>#NAME?</v>
      </c>
      <c r="E119" s="13" t="e">
        <f t="shared" ca="1" si="10"/>
        <v>#NAME?</v>
      </c>
      <c r="F119" s="13" t="e">
        <f ca="1">D119*f_m_water+(1-f_m_water)*E119</f>
        <v>#NAME?</v>
      </c>
      <c r="G119" s="13" t="e">
        <f t="shared" ca="1" si="12"/>
        <v>#NAME?</v>
      </c>
    </row>
    <row r="120" spans="2:7" x14ac:dyDescent="0.2">
      <c r="B120" s="12">
        <f t="shared" si="13"/>
        <v>1485.001</v>
      </c>
      <c r="C120" s="12">
        <v>5</v>
      </c>
      <c r="D120" s="13" t="e">
        <f ca="1">mim(C120/Lref,v*B120/Lref,to,P,beta,omega,RF,_mu1,_mu2,"Resident","Mobile",Ci,Co,log,method,Nint,tol)</f>
        <v>#NAME?</v>
      </c>
      <c r="E120" s="13" t="e">
        <f t="shared" ca="1" si="10"/>
        <v>#NAME?</v>
      </c>
      <c r="F120" s="13" t="e">
        <f ca="1">D120*f_m_water+(1-f_m_water)*E120</f>
        <v>#NAME?</v>
      </c>
      <c r="G120" s="13" t="e">
        <f t="shared" ca="1" si="12"/>
        <v>#NAME?</v>
      </c>
    </row>
    <row r="121" spans="2:7" x14ac:dyDescent="0.2">
      <c r="B121" s="12">
        <f t="shared" si="13"/>
        <v>1500.001</v>
      </c>
      <c r="C121" s="12">
        <v>5</v>
      </c>
      <c r="D121" s="13" t="e">
        <f ca="1">mim(C121/Lref,v*B121/Lref,to,P,beta,omega,RF,_mu1,_mu2,"Resident","Mobile",Ci,Co,log,method,Nint,tol)</f>
        <v>#NAME?</v>
      </c>
      <c r="E121" s="13" t="e">
        <f t="shared" ca="1" si="10"/>
        <v>#NAME?</v>
      </c>
      <c r="F121" s="13" t="e">
        <f ca="1">D121*f_m_water+(1-f_m_water)*E121</f>
        <v>#NAME?</v>
      </c>
      <c r="G121" s="13" t="e">
        <f t="shared" ca="1" si="12"/>
        <v>#NAME?</v>
      </c>
    </row>
  </sheetData>
  <mergeCells count="1">
    <mergeCell ref="D19:F19"/>
  </mergeCells>
  <phoneticPr fontId="0" type="noConversion"/>
  <pageMargins left="0.75" right="0.75" top="1" bottom="1" header="0.5" footer="0.5"/>
  <pageSetup orientation="portrait" horizontalDpi="30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39</vt:i4>
      </vt:variant>
    </vt:vector>
  </HeadingPairs>
  <TitlesOfParts>
    <vt:vector size="41" baseType="lpstr">
      <vt:lpstr>CDE</vt:lpstr>
      <vt:lpstr>2-region</vt:lpstr>
      <vt:lpstr>_mu1</vt:lpstr>
      <vt:lpstr>_mu2</vt:lpstr>
      <vt:lpstr>alpha</vt:lpstr>
      <vt:lpstr>beta</vt:lpstr>
      <vt:lpstr>Ci</vt:lpstr>
      <vt:lpstr>Ci_</vt:lpstr>
      <vt:lpstr>Co</vt:lpstr>
      <vt:lpstr>Co_</vt:lpstr>
      <vt:lpstr>'2-region'!Ctype</vt:lpstr>
      <vt:lpstr>Ctype</vt:lpstr>
      <vt:lpstr>decay</vt:lpstr>
      <vt:lpstr>decay_m_aq</vt:lpstr>
      <vt:lpstr>Deff</vt:lpstr>
      <vt:lpstr>disp_m</vt:lpstr>
      <vt:lpstr>f_m_sorb</vt:lpstr>
      <vt:lpstr>f_m_water</vt:lpstr>
      <vt:lpstr>f_sorb_m</vt:lpstr>
      <vt:lpstr>log</vt:lpstr>
      <vt:lpstr>Lref</vt:lpstr>
      <vt:lpstr>method</vt:lpstr>
      <vt:lpstr>Nint</vt:lpstr>
      <vt:lpstr>CDE!ObjFuncCell</vt:lpstr>
      <vt:lpstr>omega</vt:lpstr>
      <vt:lpstr>P</vt:lpstr>
      <vt:lpstr>CDE!ParameterRange</vt:lpstr>
      <vt:lpstr>CDE!PredictionRange</vt:lpstr>
      <vt:lpstr>production</vt:lpstr>
      <vt:lpstr>q</vt:lpstr>
      <vt:lpstr>R_</vt:lpstr>
      <vt:lpstr>RF</vt:lpstr>
      <vt:lpstr>rho_kd</vt:lpstr>
      <vt:lpstr>rhokd</vt:lpstr>
      <vt:lpstr>theta</vt:lpstr>
      <vt:lpstr>to</vt:lpstr>
      <vt:lpstr>to_</vt:lpstr>
      <vt:lpstr>tol</vt:lpstr>
      <vt:lpstr>Type</vt:lpstr>
      <vt:lpstr>v</vt:lpstr>
      <vt:lpstr>v_</vt:lpstr>
    </vt:vector>
  </TitlesOfParts>
  <Company>ORNL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Guoping Tang</dc:creator>
  <cp:lastModifiedBy>Tang, Guoping</cp:lastModifiedBy>
  <dcterms:created xsi:type="dcterms:W3CDTF">2008-12-01T03:30:05Z</dcterms:created>
  <dcterms:modified xsi:type="dcterms:W3CDTF">2012-03-08T18:18:50Z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-693228923</vt:i4>
  </property>
  <property fmtid="{D5CDD505-2E9C-101B-9397-08002B2CF9AE}" pid="4" name="_EmailSubject">
    <vt:lpwstr>Homework, codes, etc</vt:lpwstr>
  </property>
  <property fmtid="{D5CDD505-2E9C-101B-9397-08002B2CF9AE}" pid="5" name="_AuthorEmail">
    <vt:lpwstr>jparker@utk.edu</vt:lpwstr>
  </property>
  <property fmtid="{D5CDD505-2E9C-101B-9397-08002B2CF9AE}" pid="6" name="_AuthorEmailDisplayName">
    <vt:lpwstr>Parker, Jack (Jack)</vt:lpwstr>
  </property>
  <property fmtid="{D5CDD505-2E9C-101B-9397-08002B2CF9AE}" pid="7" name="_ReviewingToolsShownOnce">
    <vt:lpwstr/>
  </property>
</Properties>
</file>