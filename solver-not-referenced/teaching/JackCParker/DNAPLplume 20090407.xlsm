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90" yWindow="90" windowWidth="5880" windowHeight="3795" activeTab="3"/>
  </bookViews>
  <sheets>
    <sheet name="Input" sheetId="3" r:id="rId1"/>
    <sheet name="Plume" sheetId="4" r:id="rId2"/>
    <sheet name="Cxyt" sheetId="27" r:id="rId3"/>
    <sheet name="Fit" sheetId="26" r:id="rId4"/>
    <sheet name="Fbio" sheetId="31" r:id="rId5"/>
    <sheet name="Mre" sheetId="32" r:id="rId6"/>
  </sheets>
  <functionGroups builtInGroupCount="17"/>
  <definedNames>
    <definedName name="genehunt_adj" localSheetId="1" hidden="1">Plume!#REF!</definedName>
    <definedName name="genehunt_apr" localSheetId="1" hidden="1">75</definedName>
    <definedName name="genehunt_chc" localSheetId="1" hidden="1">-4146</definedName>
    <definedName name="genehunt_chd" localSheetId="1" hidden="1">1</definedName>
    <definedName name="genehunt_che" localSheetId="1" hidden="1">1</definedName>
    <definedName name="genehunt_cht" localSheetId="1" hidden="1">-4146</definedName>
    <definedName name="genehunt_chu" localSheetId="1" hidden="1">3</definedName>
    <definedName name="genehunt_clm" localSheetId="1" hidden="1">200</definedName>
    <definedName name="genehunt_crp" localSheetId="1" hidden="1">1</definedName>
    <definedName name="genehunt_crs" localSheetId="1">0.9</definedName>
    <definedName name="genehunt_cse" localSheetId="1" hidden="1">-4146</definedName>
    <definedName name="genehunt_csg" localSheetId="1" hidden="1">-4146</definedName>
    <definedName name="genehunt_fnc" localSheetId="1" hidden="1">0</definedName>
    <definedName name="genehunt_ggp" localSheetId="1" hidden="1">0.98</definedName>
    <definedName name="genehunt_grs" localSheetId="1" hidden="1">1</definedName>
    <definedName name="genehunt_ich" localSheetId="1" hidden="1">Empty</definedName>
    <definedName name="genehunt_int" localSheetId="1" hidden="1">-4146</definedName>
    <definedName name="genehunt_mth" localSheetId="1" hidden="1">1</definedName>
    <definedName name="genehunt_mut" localSheetId="1" hidden="1">0.01</definedName>
    <definedName name="genehunt_ncn" localSheetId="1" hidden="1">0</definedName>
    <definedName name="genehunt_nsc" localSheetId="1" hidden="1">-4146</definedName>
    <definedName name="genehunt_nus" localSheetId="1" hidden="1">10</definedName>
    <definedName name="genehunt_psz" localSheetId="1" hidden="1">50</definedName>
    <definedName name="genehunt_rcn1" localSheetId="1" hidden="1">100000</definedName>
    <definedName name="genehunt_rcn2" localSheetId="1" hidden="1">10</definedName>
    <definedName name="genehunt_rnc" localSheetId="1" hidden="1">2</definedName>
    <definedName name="genehunt_rre1" localSheetId="1" hidden="1">Plume!#REF!</definedName>
    <definedName name="genehunt_rre2" localSheetId="1" hidden="1">Plume!#REF!</definedName>
    <definedName name="genehunt_rrn1" localSheetId="1" hidden="1">FALSE</definedName>
    <definedName name="genehunt_rrn2" localSheetId="1" hidden="1">FALSE</definedName>
    <definedName name="genehunt_rsn1" localSheetId="1" hidden="1">1</definedName>
    <definedName name="genehunt_rsn2" localSheetId="1" hidden="1">2</definedName>
    <definedName name="genehunt_sed" localSheetId="1" hidden="1">1</definedName>
    <definedName name="genehunt_stg" localSheetId="1" hidden="1">-4146</definedName>
    <definedName name="genehunt_swl" localSheetId="1" hidden="1">1</definedName>
    <definedName name="genehunt_swt" localSheetId="1" hidden="1">3</definedName>
    <definedName name="genehunt_tlm" localSheetId="1" hidden="1">30</definedName>
    <definedName name="genehunt_trg" localSheetId="1" hidden="1">Plume!#REF!</definedName>
    <definedName name="genehunt_typ" localSheetId="1" hidden="1">1</definedName>
    <definedName name="genehunt_val" localSheetId="1" hidden="1">1</definedName>
    <definedName name="NoParaConstraint" localSheetId="3">1</definedName>
    <definedName name="ObjectiveFunctionRange">Fit!$J$17</definedName>
    <definedName name="ObjFuncCell" localSheetId="3">Fit!$J$17</definedName>
    <definedName name="OffsetParaPtb" localSheetId="3">-2</definedName>
    <definedName name="OffsetParaStd" localSheetId="3">-3</definedName>
    <definedName name="OffsetPredEP" localSheetId="3">1</definedName>
    <definedName name="OffsetPredJcb" localSheetId="3">9</definedName>
    <definedName name="OffsetPredStd" localSheetId="3">-5</definedName>
    <definedName name="ParameterRange" localSheetId="3">OFFSET(Fit!$H$28,0,0,COUNTA(Fit!$B$28:$B$45),1)</definedName>
    <definedName name="ParameterRange">OFFSET(Fit!$H$28,0,0,COUNTA(Fit!$B$28:$B$45),1)</definedName>
    <definedName name="PredictionRange" localSheetId="3">Fit!$K$52:$K$115</definedName>
    <definedName name="PredictionRange">OFFSET(Fit!$K$52,0,0,COUNTA(Fit!$B$52:$B$200),1)</definedName>
    <definedName name="solver_adj" localSheetId="3" hidden="1">Fit!$H$28:$H$39</definedName>
    <definedName name="solver_adj" localSheetId="1" hidden="1">Fit!$G$28:$G$29,Fit!$G$33</definedName>
    <definedName name="solver_cvg" localSheetId="3" hidden="1">0.0001</definedName>
    <definedName name="solver_cvg" localSheetId="1" hidden="1">0.0001</definedName>
    <definedName name="solver_drv" localSheetId="3" hidden="1">1</definedName>
    <definedName name="solver_drv" localSheetId="1" hidden="1">1</definedName>
    <definedName name="solver_est" localSheetId="3" hidden="1">1</definedName>
    <definedName name="solver_est" localSheetId="1" hidden="1">1</definedName>
    <definedName name="solver_itr" localSheetId="3" hidden="1">100</definedName>
    <definedName name="solver_itr" localSheetId="1" hidden="1">100</definedName>
    <definedName name="solver_lhs1" localSheetId="3" hidden="1">Fit!$H$40</definedName>
    <definedName name="solver_lhs1" localSheetId="1" hidden="1">Fit!$G$30</definedName>
    <definedName name="solver_lhs10" localSheetId="3" hidden="1">Fit!$H$32</definedName>
    <definedName name="solver_lhs11" localSheetId="3" hidden="1">Fit!$H$33</definedName>
    <definedName name="solver_lhs12" localSheetId="3" hidden="1">Fit!$H$33</definedName>
    <definedName name="solver_lhs13" localSheetId="3" hidden="1">Fit!$H$34</definedName>
    <definedName name="solver_lhs14" localSheetId="3" hidden="1">Fit!$H$34</definedName>
    <definedName name="solver_lhs15" localSheetId="3" hidden="1">Fit!$H$35</definedName>
    <definedName name="solver_lhs16" localSheetId="3" hidden="1">Fit!$H$35</definedName>
    <definedName name="solver_lhs17" localSheetId="3" hidden="1">Fit!$H$36</definedName>
    <definedName name="solver_lhs18" localSheetId="3" hidden="1">Fit!$H$36</definedName>
    <definedName name="solver_lhs19" localSheetId="3" hidden="1">Fit!$H$37</definedName>
    <definedName name="solver_lhs2" localSheetId="3" hidden="1">Fit!$H$40</definedName>
    <definedName name="solver_lhs2" localSheetId="1" hidden="1">Plume!$AH$108</definedName>
    <definedName name="solver_lhs20" localSheetId="3" hidden="1">Fit!$H$37</definedName>
    <definedName name="solver_lhs21" localSheetId="3" hidden="1">Fit!$H$38</definedName>
    <definedName name="solver_lhs22" localSheetId="3" hidden="1">Fit!$H$38</definedName>
    <definedName name="solver_lhs23" localSheetId="3" hidden="1">Fit!#REF!</definedName>
    <definedName name="solver_lhs24" localSheetId="3" hidden="1">Fit!#REF!</definedName>
    <definedName name="solver_lhs25" localSheetId="3" hidden="1">Fit!$H$39</definedName>
    <definedName name="solver_lhs26" localSheetId="3" hidden="1">Fit!$H$39</definedName>
    <definedName name="solver_lhs27" localSheetId="3" hidden="1">Fit!$H$40</definedName>
    <definedName name="solver_lhs28" localSheetId="3" hidden="1">Fit!$H$40</definedName>
    <definedName name="solver_lhs3" localSheetId="3" hidden="1">Fit!$H$39</definedName>
    <definedName name="solver_lhs3" localSheetId="1" hidden="1">Plume!$AH$107</definedName>
    <definedName name="solver_lhs4" localSheetId="3" hidden="1">Fit!$H$39</definedName>
    <definedName name="solver_lhs4" localSheetId="1" hidden="1">Plume!$AH$107</definedName>
    <definedName name="solver_lhs5" localSheetId="3" hidden="1">Fit!$H$30</definedName>
    <definedName name="solver_lhs5" localSheetId="1" hidden="1">Plume!$AH$107</definedName>
    <definedName name="solver_lhs6" localSheetId="3" hidden="1">Fit!#REF!</definedName>
    <definedName name="solver_lhs6" localSheetId="1" hidden="1">Plume!$AH$107</definedName>
    <definedName name="solver_lhs7" localSheetId="3" hidden="1">Fit!$H$31</definedName>
    <definedName name="solver_lhs7" localSheetId="1" hidden="1">Plume!$AH$108</definedName>
    <definedName name="solver_lhs8" localSheetId="3" hidden="1">Fit!$H$31</definedName>
    <definedName name="solver_lhs8" localSheetId="1" hidden="1">Plume!$AH$108</definedName>
    <definedName name="solver_lhs9" localSheetId="3" hidden="1">Fit!$H$32</definedName>
    <definedName name="solver_lin" localSheetId="3" hidden="1">2</definedName>
    <definedName name="solver_lin" localSheetId="1" hidden="1">2</definedName>
    <definedName name="solver_neg" localSheetId="3" hidden="1">2</definedName>
    <definedName name="solver_neg" localSheetId="1" hidden="1">1</definedName>
    <definedName name="solver_num" localSheetId="3" hidden="1">0</definedName>
    <definedName name="solver_num" localSheetId="1" hidden="1">1</definedName>
    <definedName name="solver_nwt" localSheetId="3" hidden="1">1</definedName>
    <definedName name="solver_nwt" localSheetId="1" hidden="1">1</definedName>
    <definedName name="solver_opt" localSheetId="3" hidden="1">Fit!$J$17</definedName>
    <definedName name="solver_opt" localSheetId="1" hidden="1">Plume!$AI$3</definedName>
    <definedName name="solver_pre" localSheetId="3" hidden="1">0.000001</definedName>
    <definedName name="solver_pre" localSheetId="1" hidden="1">0.000001</definedName>
    <definedName name="solver_rel1" localSheetId="3" hidden="1">3</definedName>
    <definedName name="solver_rel1" localSheetId="1" hidden="1">1</definedName>
    <definedName name="solver_rel10" localSheetId="3" hidden="1">1</definedName>
    <definedName name="solver_rel11" localSheetId="3" hidden="1">3</definedName>
    <definedName name="solver_rel12" localSheetId="3" hidden="1">1</definedName>
    <definedName name="solver_rel13" localSheetId="3" hidden="1">3</definedName>
    <definedName name="solver_rel14" localSheetId="3" hidden="1">1</definedName>
    <definedName name="solver_rel15" localSheetId="3" hidden="1">3</definedName>
    <definedName name="solver_rel16" localSheetId="3" hidden="1">1</definedName>
    <definedName name="solver_rel17" localSheetId="3" hidden="1">3</definedName>
    <definedName name="solver_rel18" localSheetId="3" hidden="1">1</definedName>
    <definedName name="solver_rel19" localSheetId="3" hidden="1">3</definedName>
    <definedName name="solver_rel2" localSheetId="3" hidden="1">1</definedName>
    <definedName name="solver_rel2" localSheetId="1" hidden="1">1</definedName>
    <definedName name="solver_rel20" localSheetId="3" hidden="1">1</definedName>
    <definedName name="solver_rel21" localSheetId="3" hidden="1">3</definedName>
    <definedName name="solver_rel22" localSheetId="3" hidden="1">1</definedName>
    <definedName name="solver_rel23" localSheetId="3" hidden="1">3</definedName>
    <definedName name="solver_rel24" localSheetId="3" hidden="1">1</definedName>
    <definedName name="solver_rel25" localSheetId="3" hidden="1">3</definedName>
    <definedName name="solver_rel26" localSheetId="3" hidden="1">1</definedName>
    <definedName name="solver_rel27" localSheetId="3" hidden="1">3</definedName>
    <definedName name="solver_rel28" localSheetId="3" hidden="1">1</definedName>
    <definedName name="solver_rel3" localSheetId="3" hidden="1">3</definedName>
    <definedName name="solver_rel3" localSheetId="1" hidden="1">3</definedName>
    <definedName name="solver_rel4" localSheetId="3" hidden="1">1</definedName>
    <definedName name="solver_rel4" localSheetId="1" hidden="1">3</definedName>
    <definedName name="solver_rel5" localSheetId="3" hidden="1">3</definedName>
    <definedName name="solver_rel5" localSheetId="1" hidden="1">3</definedName>
    <definedName name="solver_rel6" localSheetId="3" hidden="1">1</definedName>
    <definedName name="solver_rel6" localSheetId="1" hidden="1">1</definedName>
    <definedName name="solver_rel7" localSheetId="3" hidden="1">3</definedName>
    <definedName name="solver_rel7" localSheetId="1" hidden="1">1</definedName>
    <definedName name="solver_rel8" localSheetId="3" hidden="1">1</definedName>
    <definedName name="solver_rel8" localSheetId="1" hidden="1">3</definedName>
    <definedName name="solver_rel9" localSheetId="3" hidden="1">3</definedName>
    <definedName name="solver_rhs1" localSheetId="3" hidden="1">0</definedName>
    <definedName name="solver_rhs1" localSheetId="1" hidden="1">1.5</definedName>
    <definedName name="solver_rhs10" localSheetId="3" hidden="1">0.25</definedName>
    <definedName name="solver_rhs11" localSheetId="3" hidden="1">0</definedName>
    <definedName name="solver_rhs12" localSheetId="3" hidden="1">0.5</definedName>
    <definedName name="solver_rhs13" localSheetId="3" hidden="1">0</definedName>
    <definedName name="solver_rhs14" localSheetId="3" hidden="1">0.5</definedName>
    <definedName name="solver_rhs15" localSheetId="3" hidden="1">0</definedName>
    <definedName name="solver_rhs16" localSheetId="3" hidden="1">0.6</definedName>
    <definedName name="solver_rhs17" localSheetId="3" hidden="1">0</definedName>
    <definedName name="solver_rhs18" localSheetId="3" hidden="1">0.35</definedName>
    <definedName name="solver_rhs19" localSheetId="3" hidden="1">0</definedName>
    <definedName name="solver_rhs2" localSheetId="3" hidden="1">1</definedName>
    <definedName name="solver_rhs2" localSheetId="1" hidden="1">10</definedName>
    <definedName name="solver_rhs20" localSheetId="3" hidden="1">0.35</definedName>
    <definedName name="solver_rhs21" localSheetId="3" hidden="1">0</definedName>
    <definedName name="solver_rhs22" localSheetId="3" hidden="1">0.5</definedName>
    <definedName name="solver_rhs23" localSheetId="3" hidden="1">0</definedName>
    <definedName name="solver_rhs24" localSheetId="3" hidden="1">0.5</definedName>
    <definedName name="solver_rhs25" localSheetId="3" hidden="1">0</definedName>
    <definedName name="solver_rhs26" localSheetId="3" hidden="1">1</definedName>
    <definedName name="solver_rhs27" localSheetId="3" hidden="1">0</definedName>
    <definedName name="solver_rhs28" localSheetId="3" hidden="1">1</definedName>
    <definedName name="solver_rhs3" localSheetId="3" hidden="1">0</definedName>
    <definedName name="solver_rhs3" localSheetId="1" hidden="1">10</definedName>
    <definedName name="solver_rhs4" localSheetId="3" hidden="1">1</definedName>
    <definedName name="solver_rhs4" localSheetId="1" hidden="1">10</definedName>
    <definedName name="solver_rhs5" localSheetId="3" hidden="1">0</definedName>
    <definedName name="solver_rhs5" localSheetId="1" hidden="1">10</definedName>
    <definedName name="solver_rhs6" localSheetId="3" hidden="1">0.5</definedName>
    <definedName name="solver_rhs6" localSheetId="1" hidden="1">40</definedName>
    <definedName name="solver_rhs7" localSheetId="3" hidden="1">0</definedName>
    <definedName name="solver_rhs7" localSheetId="1" hidden="1">10</definedName>
    <definedName name="solver_rhs8" localSheetId="3" hidden="1">0.25</definedName>
    <definedName name="solver_rhs8" localSheetId="1" hidden="1">1</definedName>
    <definedName name="solver_rhs9" localSheetId="3" hidden="1">0</definedName>
    <definedName name="solver_scl" localSheetId="3" hidden="1">2</definedName>
    <definedName name="solver_scl" localSheetId="1" hidden="1">1</definedName>
    <definedName name="solver_sho" localSheetId="3" hidden="1">2</definedName>
    <definedName name="solver_sho" localSheetId="1" hidden="1">2</definedName>
    <definedName name="solver_tim" localSheetId="3" hidden="1">100</definedName>
    <definedName name="solver_tim" localSheetId="1" hidden="1">600</definedName>
    <definedName name="solver_tol" localSheetId="3" hidden="1">0.05</definedName>
    <definedName name="solver_tol" localSheetId="1" hidden="1">0.05</definedName>
    <definedName name="solver_typ" localSheetId="3" hidden="1">2</definedName>
    <definedName name="solver_typ" localSheetId="1" hidden="1">2</definedName>
    <definedName name="solver_val" localSheetId="3" hidden="1">0</definedName>
    <definedName name="solver_val" localSheetId="1" hidden="1">0</definedName>
  </definedNames>
  <calcPr calcId="145621"/>
  <customWorkbookViews>
    <customWorkbookView name="Program" guid="{128C05F9-A66F-452B-AC6A-BA076995E294}" maximized="1" windowWidth="1274" windowHeight="913" activeSheetId="3"/>
  </customWorkbookViews>
</workbook>
</file>

<file path=xl/calcChain.xml><?xml version="1.0" encoding="utf-8"?>
<calcChain xmlns="http://schemas.openxmlformats.org/spreadsheetml/2006/main">
  <c r="D96" i="26" l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F115" i="26" l="1"/>
  <c r="F114" i="26"/>
  <c r="F113" i="26"/>
  <c r="F112" i="26"/>
  <c r="F111" i="26"/>
  <c r="F110" i="26"/>
  <c r="F109" i="26"/>
  <c r="AJ20" i="26"/>
  <c r="G38" i="26"/>
  <c r="AJ7" i="26" s="1"/>
  <c r="J38" i="26"/>
  <c r="AB39" i="26"/>
  <c r="AA39" i="26"/>
  <c r="W27" i="26"/>
  <c r="I41" i="26"/>
  <c r="AJ19" i="26"/>
  <c r="K13" i="3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95" i="26"/>
  <c r="BB115" i="26" l="1"/>
  <c r="M115" i="26"/>
  <c r="BC115" i="26"/>
  <c r="BA115" i="26"/>
  <c r="BB114" i="26"/>
  <c r="M114" i="26"/>
  <c r="BC114" i="26"/>
  <c r="BA114" i="26"/>
  <c r="BB113" i="26"/>
  <c r="M113" i="26"/>
  <c r="BC113" i="26"/>
  <c r="BA113" i="26"/>
  <c r="BB112" i="26"/>
  <c r="M112" i="26"/>
  <c r="BC112" i="26"/>
  <c r="BA112" i="26"/>
  <c r="BB111" i="26"/>
  <c r="M111" i="26"/>
  <c r="BC111" i="26"/>
  <c r="BA111" i="26"/>
  <c r="BB110" i="26"/>
  <c r="M110" i="26"/>
  <c r="BC110" i="26"/>
  <c r="BA110" i="26"/>
  <c r="BC109" i="26"/>
  <c r="BA109" i="26"/>
  <c r="BB109" i="26"/>
  <c r="M109" i="26"/>
  <c r="I38" i="26"/>
  <c r="BB95" i="26"/>
  <c r="BB96" i="26"/>
  <c r="BB97" i="26"/>
  <c r="BB98" i="26"/>
  <c r="BB99" i="26"/>
  <c r="BB100" i="26"/>
  <c r="BB101" i="26"/>
  <c r="BB102" i="26"/>
  <c r="BB103" i="26"/>
  <c r="BB104" i="26"/>
  <c r="BB105" i="26"/>
  <c r="BB106" i="26"/>
  <c r="BB107" i="26"/>
  <c r="BB108" i="26"/>
  <c r="BA95" i="26"/>
  <c r="BA96" i="26"/>
  <c r="BA97" i="26"/>
  <c r="BA98" i="26"/>
  <c r="BA99" i="26"/>
  <c r="BA100" i="26"/>
  <c r="BA101" i="26"/>
  <c r="BA102" i="26"/>
  <c r="BA103" i="26"/>
  <c r="BA104" i="26"/>
  <c r="BA105" i="26"/>
  <c r="BA106" i="26"/>
  <c r="BA107" i="26"/>
  <c r="BA108" i="26"/>
  <c r="G32" i="26"/>
  <c r="AJ11" i="26" s="1"/>
  <c r="G35" i="26"/>
  <c r="AJ14" i="26" s="1"/>
  <c r="G36" i="26"/>
  <c r="AJ15" i="26" s="1"/>
  <c r="G34" i="26"/>
  <c r="AJ13" i="26" s="1"/>
  <c r="G33" i="26"/>
  <c r="AJ12" i="26" s="1"/>
  <c r="G31" i="26"/>
  <c r="AJ9" i="26" s="1"/>
  <c r="G30" i="26"/>
  <c r="G29" i="26"/>
  <c r="AJ3" i="26" s="1"/>
  <c r="G28" i="26"/>
  <c r="AJ2" i="26" s="1"/>
  <c r="G37" i="26"/>
  <c r="AJ17" i="26" s="1"/>
  <c r="M95" i="26"/>
  <c r="M96" i="26"/>
  <c r="M97" i="26"/>
  <c r="M98" i="26"/>
  <c r="M99" i="26"/>
  <c r="M100" i="26"/>
  <c r="M101" i="26"/>
  <c r="M102" i="26"/>
  <c r="M103" i="26"/>
  <c r="M104" i="26"/>
  <c r="M105" i="26"/>
  <c r="M106" i="26"/>
  <c r="M107" i="26"/>
  <c r="M108" i="26"/>
  <c r="BB94" i="26"/>
  <c r="BA52" i="26"/>
  <c r="C5" i="4"/>
  <c r="C20" i="4"/>
  <c r="C6" i="4" s="1"/>
  <c r="C58" i="4"/>
  <c r="B51" i="4"/>
  <c r="C76" i="4"/>
  <c r="B69" i="4"/>
  <c r="B91" i="4"/>
  <c r="L79" i="3"/>
  <c r="AP17" i="4"/>
  <c r="AO17" i="4" s="1"/>
  <c r="L80" i="3"/>
  <c r="AP18" i="4" s="1"/>
  <c r="AO18" i="4" s="1"/>
  <c r="B12" i="4"/>
  <c r="B68" i="4" s="1"/>
  <c r="D20" i="4"/>
  <c r="C9" i="32"/>
  <c r="C11" i="32" s="1"/>
  <c r="C12" i="32" s="1"/>
  <c r="C10" i="31"/>
  <c r="C9" i="31"/>
  <c r="C11" i="31"/>
  <c r="D8" i="3"/>
  <c r="C12" i="31" s="1"/>
  <c r="H6" i="31" s="1"/>
  <c r="H7" i="31" s="1"/>
  <c r="C14" i="31" s="1"/>
  <c r="C23" i="31"/>
  <c r="L69" i="3"/>
  <c r="AK2" i="26" s="1"/>
  <c r="L70" i="3"/>
  <c r="AK3" i="26" s="1"/>
  <c r="L71" i="3"/>
  <c r="AK4" i="26" s="1"/>
  <c r="AJ5" i="26"/>
  <c r="L72" i="3"/>
  <c r="AP10" i="4" s="1"/>
  <c r="AO10" i="4" s="1"/>
  <c r="AJ6" i="26"/>
  <c r="L73" i="3"/>
  <c r="AK6" i="26"/>
  <c r="L74" i="3"/>
  <c r="AK7" i="26"/>
  <c r="AJ8" i="26"/>
  <c r="L75" i="3"/>
  <c r="AP13" i="4" s="1"/>
  <c r="AO13" i="4" s="1"/>
  <c r="L76" i="3"/>
  <c r="AP14" i="4" s="1"/>
  <c r="AO14" i="4" s="1"/>
  <c r="J19" i="26"/>
  <c r="J28" i="26"/>
  <c r="J29" i="26"/>
  <c r="J30" i="26"/>
  <c r="J31" i="26"/>
  <c r="J32" i="26"/>
  <c r="J33" i="26"/>
  <c r="J34" i="26"/>
  <c r="J35" i="26"/>
  <c r="J36" i="26"/>
  <c r="J37" i="26"/>
  <c r="J39" i="26"/>
  <c r="J20" i="26"/>
  <c r="J11" i="26" s="1"/>
  <c r="F29" i="26" s="1"/>
  <c r="AJ10" i="26"/>
  <c r="L77" i="3"/>
  <c r="AJ18" i="26"/>
  <c r="L78" i="3"/>
  <c r="AK12" i="26"/>
  <c r="I35" i="26"/>
  <c r="G39" i="26"/>
  <c r="L81" i="3"/>
  <c r="AP19" i="4" s="1"/>
  <c r="K63" i="3"/>
  <c r="K58" i="3" s="1"/>
  <c r="K61" i="3" s="1"/>
  <c r="K64" i="3"/>
  <c r="L64" i="3" s="1"/>
  <c r="K55" i="3"/>
  <c r="K65" i="3"/>
  <c r="AJ16" i="26"/>
  <c r="L83" i="3"/>
  <c r="L63" i="3"/>
  <c r="L58" i="3" s="1"/>
  <c r="L55" i="3"/>
  <c r="J18" i="26"/>
  <c r="L85" i="3"/>
  <c r="L86" i="3"/>
  <c r="AK19" i="26" s="1"/>
  <c r="L87" i="3"/>
  <c r="G21" i="26"/>
  <c r="AJ21" i="26"/>
  <c r="L88" i="3"/>
  <c r="AK22" i="26"/>
  <c r="L27" i="26"/>
  <c r="M27" i="26"/>
  <c r="U51" i="26" s="1"/>
  <c r="N27" i="26"/>
  <c r="O27" i="26"/>
  <c r="W51" i="26" s="1"/>
  <c r="P27" i="26"/>
  <c r="Q27" i="26"/>
  <c r="Y51" i="26" s="1"/>
  <c r="R27" i="26"/>
  <c r="S27" i="26"/>
  <c r="AA51" i="26" s="1"/>
  <c r="T27" i="26"/>
  <c r="U27" i="26"/>
  <c r="AC51" i="26" s="1"/>
  <c r="V27" i="26"/>
  <c r="AE51" i="26"/>
  <c r="AG51" i="26"/>
  <c r="AA28" i="26"/>
  <c r="AB28" i="26"/>
  <c r="AA29" i="26"/>
  <c r="AB29" i="26"/>
  <c r="AA30" i="26"/>
  <c r="AB30" i="26"/>
  <c r="AA31" i="26"/>
  <c r="AB31" i="26"/>
  <c r="AA32" i="26"/>
  <c r="AB32" i="26"/>
  <c r="AA33" i="26"/>
  <c r="AB33" i="26"/>
  <c r="AA34" i="26"/>
  <c r="AB34" i="26"/>
  <c r="AA35" i="26"/>
  <c r="AB35" i="26"/>
  <c r="AA36" i="26"/>
  <c r="AB36" i="26"/>
  <c r="AA37" i="26"/>
  <c r="AB37" i="26"/>
  <c r="AA38" i="26"/>
  <c r="AB38" i="26"/>
  <c r="BA49" i="26"/>
  <c r="BD74" i="26" s="1"/>
  <c r="BB49" i="26"/>
  <c r="BE55" i="26" s="1"/>
  <c r="BC49" i="26"/>
  <c r="BF60" i="26" s="1"/>
  <c r="C96" i="26"/>
  <c r="C97" i="26" s="1"/>
  <c r="BE53" i="26"/>
  <c r="BG49" i="26"/>
  <c r="BL52" i="26"/>
  <c r="BM52" i="26" s="1"/>
  <c r="BN52" i="26" s="1"/>
  <c r="BO52" i="26" s="1"/>
  <c r="BL53" i="26"/>
  <c r="BM53" i="26" s="1"/>
  <c r="BN53" i="26" s="1"/>
  <c r="BO53" i="26" s="1"/>
  <c r="BL54" i="26"/>
  <c r="BM54" i="26" s="1"/>
  <c r="BN54" i="26" s="1"/>
  <c r="BO54" i="26" s="1"/>
  <c r="BL55" i="26"/>
  <c r="BM55" i="26" s="1"/>
  <c r="BN55" i="26" s="1"/>
  <c r="BO55" i="26" s="1"/>
  <c r="BL56" i="26"/>
  <c r="BM56" i="26" s="1"/>
  <c r="BN56" i="26" s="1"/>
  <c r="BO56" i="26" s="1"/>
  <c r="BL57" i="26"/>
  <c r="BM57" i="26" s="1"/>
  <c r="BN57" i="26" s="1"/>
  <c r="BO57" i="26" s="1"/>
  <c r="BL58" i="26"/>
  <c r="BM58" i="26" s="1"/>
  <c r="BN58" i="26" s="1"/>
  <c r="BO58" i="26" s="1"/>
  <c r="BL59" i="26"/>
  <c r="BM59" i="26" s="1"/>
  <c r="BN59" i="26" s="1"/>
  <c r="BO59" i="26" s="1"/>
  <c r="BL60" i="26"/>
  <c r="BM60" i="26" s="1"/>
  <c r="BN60" i="26" s="1"/>
  <c r="BO60" i="26" s="1"/>
  <c r="BL61" i="26"/>
  <c r="BM61" i="26" s="1"/>
  <c r="BN61" i="26" s="1"/>
  <c r="BO61" i="26" s="1"/>
  <c r="BL62" i="26"/>
  <c r="BM62" i="26" s="1"/>
  <c r="BN62" i="26" s="1"/>
  <c r="BO62" i="26" s="1"/>
  <c r="BL63" i="26"/>
  <c r="BM63" i="26" s="1"/>
  <c r="BN63" i="26" s="1"/>
  <c r="BO63" i="26" s="1"/>
  <c r="BL64" i="26"/>
  <c r="BM64" i="26" s="1"/>
  <c r="BN64" i="26" s="1"/>
  <c r="BO64" i="26" s="1"/>
  <c r="BL65" i="26"/>
  <c r="BM65" i="26" s="1"/>
  <c r="BN65" i="26" s="1"/>
  <c r="BO65" i="26" s="1"/>
  <c r="BL66" i="26"/>
  <c r="BM66" i="26" s="1"/>
  <c r="BN66" i="26" s="1"/>
  <c r="BO66" i="26" s="1"/>
  <c r="BL67" i="26"/>
  <c r="BM67" i="26" s="1"/>
  <c r="BN67" i="26" s="1"/>
  <c r="BO67" i="26" s="1"/>
  <c r="BL68" i="26"/>
  <c r="BM68" i="26" s="1"/>
  <c r="BN68" i="26" s="1"/>
  <c r="BO68" i="26" s="1"/>
  <c r="BL69" i="26"/>
  <c r="BM69" i="26" s="1"/>
  <c r="BN69" i="26" s="1"/>
  <c r="BO69" i="26" s="1"/>
  <c r="BL70" i="26"/>
  <c r="BM70" i="26" s="1"/>
  <c r="BN70" i="26" s="1"/>
  <c r="BO70" i="26" s="1"/>
  <c r="BL71" i="26"/>
  <c r="BM71" i="26" s="1"/>
  <c r="BN71" i="26" s="1"/>
  <c r="BO71" i="26" s="1"/>
  <c r="BL72" i="26"/>
  <c r="BM72" i="26" s="1"/>
  <c r="BN72" i="26" s="1"/>
  <c r="BO72" i="26" s="1"/>
  <c r="BL73" i="26"/>
  <c r="BM73" i="26" s="1"/>
  <c r="BN73" i="26" s="1"/>
  <c r="BO73" i="26" s="1"/>
  <c r="BL74" i="26"/>
  <c r="BM74" i="26" s="1"/>
  <c r="BN74" i="26" s="1"/>
  <c r="BO74" i="26" s="1"/>
  <c r="BL75" i="26"/>
  <c r="BM75" i="26" s="1"/>
  <c r="BN75" i="26" s="1"/>
  <c r="BO75" i="26" s="1"/>
  <c r="BL76" i="26"/>
  <c r="BM76" i="26" s="1"/>
  <c r="BN76" i="26" s="1"/>
  <c r="BO76" i="26" s="1"/>
  <c r="BL77" i="26"/>
  <c r="BM77" i="26" s="1"/>
  <c r="BN77" i="26" s="1"/>
  <c r="BO77" i="26" s="1"/>
  <c r="BL78" i="26"/>
  <c r="BM78" i="26" s="1"/>
  <c r="BN78" i="26" s="1"/>
  <c r="BO78" i="26" s="1"/>
  <c r="BL79" i="26"/>
  <c r="BM79" i="26" s="1"/>
  <c r="BN79" i="26" s="1"/>
  <c r="BO79" i="26" s="1"/>
  <c r="BL80" i="26"/>
  <c r="BM80" i="26" s="1"/>
  <c r="BN80" i="26" s="1"/>
  <c r="BO80" i="26" s="1"/>
  <c r="BL81" i="26"/>
  <c r="BM81" i="26" s="1"/>
  <c r="BN81" i="26" s="1"/>
  <c r="BO81" i="26" s="1"/>
  <c r="BL82" i="26"/>
  <c r="BM82" i="26" s="1"/>
  <c r="BN82" i="26" s="1"/>
  <c r="BO82" i="26" s="1"/>
  <c r="BL83" i="26"/>
  <c r="BM83" i="26" s="1"/>
  <c r="BN83" i="26" s="1"/>
  <c r="BO83" i="26" s="1"/>
  <c r="BL84" i="26"/>
  <c r="BM84" i="26" s="1"/>
  <c r="BN84" i="26" s="1"/>
  <c r="BO84" i="26" s="1"/>
  <c r="BL85" i="26"/>
  <c r="BM85" i="26" s="1"/>
  <c r="BN85" i="26" s="1"/>
  <c r="BO85" i="26" s="1"/>
  <c r="BL86" i="26"/>
  <c r="BM86" i="26" s="1"/>
  <c r="BN86" i="26" s="1"/>
  <c r="BO86" i="26" s="1"/>
  <c r="BL87" i="26"/>
  <c r="BM87" i="26" s="1"/>
  <c r="BN87" i="26" s="1"/>
  <c r="BO87" i="26" s="1"/>
  <c r="BL88" i="26"/>
  <c r="BM88" i="26" s="1"/>
  <c r="BN88" i="26" s="1"/>
  <c r="BO88" i="26" s="1"/>
  <c r="BL89" i="26"/>
  <c r="BM89" i="26" s="1"/>
  <c r="BN89" i="26" s="1"/>
  <c r="BO89" i="26" s="1"/>
  <c r="BL90" i="26"/>
  <c r="BM90" i="26" s="1"/>
  <c r="BN90" i="26" s="1"/>
  <c r="BO90" i="26" s="1"/>
  <c r="BL91" i="26"/>
  <c r="BM91" i="26" s="1"/>
  <c r="BN91" i="26" s="1"/>
  <c r="BO91" i="26" s="1"/>
  <c r="BL92" i="26"/>
  <c r="BM92" i="26" s="1"/>
  <c r="BN92" i="26" s="1"/>
  <c r="BO92" i="26" s="1"/>
  <c r="BL93" i="26"/>
  <c r="BM93" i="26" s="1"/>
  <c r="BN93" i="26" s="1"/>
  <c r="BO93" i="26" s="1"/>
  <c r="AK50" i="26"/>
  <c r="AL50" i="26"/>
  <c r="AM50" i="26"/>
  <c r="AN50" i="26"/>
  <c r="AO50" i="26"/>
  <c r="AP50" i="26"/>
  <c r="AQ50" i="26"/>
  <c r="AR50" i="26"/>
  <c r="AS50" i="26"/>
  <c r="K51" i="26"/>
  <c r="L51" i="26"/>
  <c r="N51" i="26"/>
  <c r="O51" i="26"/>
  <c r="T51" i="26"/>
  <c r="V51" i="26"/>
  <c r="X51" i="26"/>
  <c r="Z51" i="26"/>
  <c r="AB51" i="26"/>
  <c r="AD51" i="26"/>
  <c r="AF51" i="26"/>
  <c r="AK51" i="26"/>
  <c r="AL51" i="26"/>
  <c r="AM51" i="26"/>
  <c r="AN51" i="26"/>
  <c r="AO51" i="26"/>
  <c r="AP51" i="26"/>
  <c r="AQ51" i="26"/>
  <c r="AR51" i="26"/>
  <c r="AS51" i="26"/>
  <c r="BC52" i="26"/>
  <c r="AY53" i="26"/>
  <c r="AY54" i="26"/>
  <c r="AY55" i="26"/>
  <c r="AY56" i="26"/>
  <c r="AY57" i="26"/>
  <c r="AY58" i="26"/>
  <c r="AY59" i="26"/>
  <c r="AY60" i="26"/>
  <c r="AY61" i="26"/>
  <c r="AY62" i="26"/>
  <c r="AY63" i="26"/>
  <c r="AY64" i="26"/>
  <c r="AY65" i="26"/>
  <c r="AY66" i="26"/>
  <c r="AY67" i="26"/>
  <c r="AY68" i="26"/>
  <c r="AY69" i="26"/>
  <c r="AY70" i="26"/>
  <c r="BT88" i="26"/>
  <c r="BT89" i="26"/>
  <c r="BT94" i="26" s="1"/>
  <c r="BT95" i="26" s="1"/>
  <c r="BT90" i="26"/>
  <c r="BC94" i="26"/>
  <c r="BC95" i="26"/>
  <c r="BC96" i="26"/>
  <c r="BC97" i="26"/>
  <c r="BC98" i="26"/>
  <c r="BT98" i="26"/>
  <c r="BC99" i="26"/>
  <c r="BC100" i="26"/>
  <c r="BC101" i="26"/>
  <c r="BC102" i="26"/>
  <c r="BE102" i="26"/>
  <c r="BC103" i="26"/>
  <c r="BE103" i="26"/>
  <c r="BC104" i="26"/>
  <c r="BC105" i="26"/>
  <c r="BC106" i="26"/>
  <c r="BE106" i="26"/>
  <c r="BC107" i="26"/>
  <c r="BE107" i="26"/>
  <c r="BC108" i="26"/>
  <c r="M12" i="27"/>
  <c r="L12" i="27" s="1"/>
  <c r="M4" i="27"/>
  <c r="B5" i="27"/>
  <c r="B6" i="27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C5" i="27"/>
  <c r="C6" i="27" s="1"/>
  <c r="C7" i="27" s="1"/>
  <c r="C8" i="27" s="1"/>
  <c r="C9" i="27" s="1"/>
  <c r="C10" i="27" s="1"/>
  <c r="C11" i="27" s="1"/>
  <c r="C12" i="27" s="1"/>
  <c r="C13" i="27" s="1"/>
  <c r="C14" i="27" s="1"/>
  <c r="C15" i="27" s="1"/>
  <c r="C16" i="27" s="1"/>
  <c r="C17" i="27" s="1"/>
  <c r="C18" i="27" s="1"/>
  <c r="C19" i="27" s="1"/>
  <c r="C20" i="27" s="1"/>
  <c r="C21" i="27" s="1"/>
  <c r="C22" i="27" s="1"/>
  <c r="C23" i="27" s="1"/>
  <c r="C24" i="27" s="1"/>
  <c r="C25" i="27" s="1"/>
  <c r="C26" i="27" s="1"/>
  <c r="C27" i="27" s="1"/>
  <c r="C28" i="27" s="1"/>
  <c r="C29" i="27" s="1"/>
  <c r="C30" i="27" s="1"/>
  <c r="C31" i="27" s="1"/>
  <c r="C32" i="27" s="1"/>
  <c r="C33" i="27" s="1"/>
  <c r="C34" i="27" s="1"/>
  <c r="C35" i="27" s="1"/>
  <c r="C36" i="27" s="1"/>
  <c r="C37" i="27" s="1"/>
  <c r="C38" i="27" s="1"/>
  <c r="C39" i="27" s="1"/>
  <c r="C40" i="27" s="1"/>
  <c r="C41" i="27" s="1"/>
  <c r="C42" i="27" s="1"/>
  <c r="C43" i="27" s="1"/>
  <c r="L5" i="27"/>
  <c r="M5" i="27"/>
  <c r="M6" i="27"/>
  <c r="M7" i="27"/>
  <c r="M8" i="27"/>
  <c r="M9" i="27"/>
  <c r="M10" i="27"/>
  <c r="M11" i="27"/>
  <c r="M14" i="27"/>
  <c r="M15" i="27"/>
  <c r="M18" i="27"/>
  <c r="M20" i="27"/>
  <c r="M21" i="27"/>
  <c r="M22" i="27"/>
  <c r="M23" i="27"/>
  <c r="D6" i="4"/>
  <c r="AW32" i="4" s="1"/>
  <c r="AV12" i="4"/>
  <c r="AV13" i="4"/>
  <c r="AV26" i="4" s="1"/>
  <c r="AV87" i="4" s="1"/>
  <c r="AV100" i="4" s="1"/>
  <c r="AV113" i="4" s="1"/>
  <c r="AV126" i="4" s="1"/>
  <c r="AV139" i="4" s="1"/>
  <c r="AV152" i="4" s="1"/>
  <c r="AV165" i="4" s="1"/>
  <c r="AV178" i="4" s="1"/>
  <c r="AV191" i="4" s="1"/>
  <c r="AV204" i="4" s="1"/>
  <c r="AV217" i="4" s="1"/>
  <c r="AV230" i="4" s="1"/>
  <c r="AV243" i="4" s="1"/>
  <c r="AV256" i="4" s="1"/>
  <c r="AV269" i="4" s="1"/>
  <c r="AV282" i="4" s="1"/>
  <c r="AV295" i="4" s="1"/>
  <c r="AV308" i="4" s="1"/>
  <c r="AV321" i="4" s="1"/>
  <c r="AV334" i="4" s="1"/>
  <c r="AV347" i="4" s="1"/>
  <c r="AV360" i="4" s="1"/>
  <c r="AV373" i="4" s="1"/>
  <c r="AV386" i="4" s="1"/>
  <c r="AV399" i="4" s="1"/>
  <c r="AV412" i="4" s="1"/>
  <c r="AV425" i="4" s="1"/>
  <c r="AV438" i="4" s="1"/>
  <c r="AV451" i="4" s="1"/>
  <c r="B14" i="4"/>
  <c r="AV14" i="4" s="1"/>
  <c r="AV27" i="4" s="1"/>
  <c r="AV88" i="4" s="1"/>
  <c r="AV101" i="4" s="1"/>
  <c r="AV114" i="4" s="1"/>
  <c r="AV127" i="4" s="1"/>
  <c r="AV140" i="4" s="1"/>
  <c r="AV153" i="4" s="1"/>
  <c r="AV166" i="4" s="1"/>
  <c r="AV179" i="4" s="1"/>
  <c r="AV192" i="4" s="1"/>
  <c r="AV205" i="4" s="1"/>
  <c r="AV218" i="4" s="1"/>
  <c r="AV231" i="4" s="1"/>
  <c r="AV244" i="4" s="1"/>
  <c r="AV257" i="4" s="1"/>
  <c r="AV270" i="4" s="1"/>
  <c r="AV283" i="4" s="1"/>
  <c r="AV296" i="4" s="1"/>
  <c r="AV309" i="4" s="1"/>
  <c r="AV322" i="4" s="1"/>
  <c r="AV335" i="4" s="1"/>
  <c r="AV348" i="4" s="1"/>
  <c r="AV361" i="4" s="1"/>
  <c r="AV374" i="4" s="1"/>
  <c r="AV387" i="4" s="1"/>
  <c r="AV400" i="4" s="1"/>
  <c r="AV413" i="4" s="1"/>
  <c r="AV426" i="4" s="1"/>
  <c r="AV439" i="4" s="1"/>
  <c r="AV452" i="4" s="1"/>
  <c r="AV25" i="4"/>
  <c r="AV86" i="4" s="1"/>
  <c r="AV99" i="4" s="1"/>
  <c r="AV112" i="4" s="1"/>
  <c r="AV125" i="4" s="1"/>
  <c r="AV138" i="4" s="1"/>
  <c r="AV151" i="4" s="1"/>
  <c r="AV164" i="4" s="1"/>
  <c r="AV177" i="4" s="1"/>
  <c r="AV190" i="4" s="1"/>
  <c r="AV203" i="4" s="1"/>
  <c r="AV216" i="4" s="1"/>
  <c r="AV229" i="4" s="1"/>
  <c r="AV242" i="4" s="1"/>
  <c r="AV255" i="4" s="1"/>
  <c r="AV268" i="4" s="1"/>
  <c r="AV281" i="4" s="1"/>
  <c r="AV294" i="4" s="1"/>
  <c r="AV307" i="4" s="1"/>
  <c r="AV320" i="4" s="1"/>
  <c r="AV333" i="4" s="1"/>
  <c r="AV346" i="4" s="1"/>
  <c r="AV359" i="4" s="1"/>
  <c r="AV372" i="4" s="1"/>
  <c r="AV385" i="4" s="1"/>
  <c r="AV398" i="4" s="1"/>
  <c r="AV411" i="4" s="1"/>
  <c r="AV424" i="4" s="1"/>
  <c r="AV437" i="4" s="1"/>
  <c r="AV450" i="4" s="1"/>
  <c r="AW30" i="4"/>
  <c r="I32" i="4"/>
  <c r="I33" i="4"/>
  <c r="AV108" i="4"/>
  <c r="AV121" i="4"/>
  <c r="AV134" i="4" s="1"/>
  <c r="AV147" i="4" s="1"/>
  <c r="AV160" i="4" s="1"/>
  <c r="AV173" i="4" s="1"/>
  <c r="AV186" i="4" s="1"/>
  <c r="AV199" i="4" s="1"/>
  <c r="AV212" i="4" s="1"/>
  <c r="AV225" i="4" s="1"/>
  <c r="AV238" i="4" s="1"/>
  <c r="AV251" i="4" s="1"/>
  <c r="AV264" i="4" s="1"/>
  <c r="AV277" i="4" s="1"/>
  <c r="AV290" i="4" s="1"/>
  <c r="AV303" i="4" s="1"/>
  <c r="AV316" i="4" s="1"/>
  <c r="AV329" i="4" s="1"/>
  <c r="AV342" i="4" s="1"/>
  <c r="AV355" i="4" s="1"/>
  <c r="AV368" i="4" s="1"/>
  <c r="AV381" i="4" s="1"/>
  <c r="AV394" i="4" s="1"/>
  <c r="AV407" i="4" s="1"/>
  <c r="AV420" i="4" s="1"/>
  <c r="AV433" i="4" s="1"/>
  <c r="AV446" i="4" s="1"/>
  <c r="AV111" i="4"/>
  <c r="AV124" i="4" s="1"/>
  <c r="AV137" i="4" s="1"/>
  <c r="AV150" i="4" s="1"/>
  <c r="AV163" i="4" s="1"/>
  <c r="AV176" i="4" s="1"/>
  <c r="AV189" i="4" s="1"/>
  <c r="AV202" i="4" s="1"/>
  <c r="AV215" i="4" s="1"/>
  <c r="AV228" i="4" s="1"/>
  <c r="AV241" i="4" s="1"/>
  <c r="AV254" i="4" s="1"/>
  <c r="AV267" i="4" s="1"/>
  <c r="AV280" i="4" s="1"/>
  <c r="AV293" i="4" s="1"/>
  <c r="AV306" i="4" s="1"/>
  <c r="AV319" i="4" s="1"/>
  <c r="AV332" i="4" s="1"/>
  <c r="AV345" i="4" s="1"/>
  <c r="AV358" i="4" s="1"/>
  <c r="AV371" i="4" s="1"/>
  <c r="AV384" i="4" s="1"/>
  <c r="AV397" i="4" s="1"/>
  <c r="AV410" i="4" s="1"/>
  <c r="AV423" i="4" s="1"/>
  <c r="AV436" i="4" s="1"/>
  <c r="AV449" i="4" s="1"/>
  <c r="I13" i="3"/>
  <c r="I14" i="3"/>
  <c r="I15" i="3"/>
  <c r="I16" i="3"/>
  <c r="I17" i="3"/>
  <c r="I18" i="3"/>
  <c r="I19" i="3"/>
  <c r="I20" i="3"/>
  <c r="I21" i="3"/>
  <c r="I23" i="3"/>
  <c r="K56" i="3"/>
  <c r="L56" i="3"/>
  <c r="B50" i="4"/>
  <c r="D44" i="4"/>
  <c r="D76" i="4"/>
  <c r="D58" i="4"/>
  <c r="B52" i="4"/>
  <c r="B70" i="4"/>
  <c r="B15" i="4"/>
  <c r="E20" i="4"/>
  <c r="E76" i="4" s="1"/>
  <c r="B11" i="4"/>
  <c r="B90" i="4"/>
  <c r="AW29" i="4"/>
  <c r="AW24" i="4"/>
  <c r="AW20" i="4"/>
  <c r="AV15" i="4"/>
  <c r="AV28" i="4" s="1"/>
  <c r="AV89" i="4" s="1"/>
  <c r="AV102" i="4" s="1"/>
  <c r="AV115" i="4" s="1"/>
  <c r="AV128" i="4" s="1"/>
  <c r="AV141" i="4" s="1"/>
  <c r="AV154" i="4" s="1"/>
  <c r="AV167" i="4" s="1"/>
  <c r="AV180" i="4" s="1"/>
  <c r="AV193" i="4" s="1"/>
  <c r="AV206" i="4" s="1"/>
  <c r="AV219" i="4" s="1"/>
  <c r="AV232" i="4" s="1"/>
  <c r="AV245" i="4" s="1"/>
  <c r="AV258" i="4" s="1"/>
  <c r="AV271" i="4" s="1"/>
  <c r="AV284" i="4" s="1"/>
  <c r="AV297" i="4" s="1"/>
  <c r="AV310" i="4" s="1"/>
  <c r="AV323" i="4" s="1"/>
  <c r="AV336" i="4" s="1"/>
  <c r="AV349" i="4" s="1"/>
  <c r="AV362" i="4" s="1"/>
  <c r="AV375" i="4" s="1"/>
  <c r="AV388" i="4" s="1"/>
  <c r="AV401" i="4" s="1"/>
  <c r="AV414" i="4" s="1"/>
  <c r="AV427" i="4" s="1"/>
  <c r="AV440" i="4" s="1"/>
  <c r="AV453" i="4" s="1"/>
  <c r="L61" i="3"/>
  <c r="BD90" i="26"/>
  <c r="BD53" i="26"/>
  <c r="BD57" i="26"/>
  <c r="BD61" i="26"/>
  <c r="BD65" i="26"/>
  <c r="BD69" i="26"/>
  <c r="BD73" i="26"/>
  <c r="BD77" i="26"/>
  <c r="BD81" i="26"/>
  <c r="BD85" i="26"/>
  <c r="BD89" i="26"/>
  <c r="BD93" i="26"/>
  <c r="BD56" i="26"/>
  <c r="BD64" i="26"/>
  <c r="BD72" i="26"/>
  <c r="BD80" i="26"/>
  <c r="BD88" i="26"/>
  <c r="BD54" i="26"/>
  <c r="BD70" i="26"/>
  <c r="BD86" i="26"/>
  <c r="AK14" i="26"/>
  <c r="AO19" i="4"/>
  <c r="AK11" i="26"/>
  <c r="AP16" i="4"/>
  <c r="AO16" i="4" s="1"/>
  <c r="M13" i="27"/>
  <c r="AK20" i="26"/>
  <c r="AP25" i="4"/>
  <c r="AO25" i="4" s="1"/>
  <c r="AK18" i="26"/>
  <c r="AP23" i="4"/>
  <c r="AO23" i="4" s="1"/>
  <c r="AP24" i="4"/>
  <c r="AO24" i="4" s="1"/>
  <c r="AK16" i="26"/>
  <c r="AP21" i="4"/>
  <c r="AO21" i="4" s="1"/>
  <c r="L65" i="3"/>
  <c r="L59" i="3"/>
  <c r="L60" i="3" s="1"/>
  <c r="F53" i="26"/>
  <c r="AK10" i="26"/>
  <c r="AP15" i="4"/>
  <c r="AO15" i="4"/>
  <c r="BD96" i="26"/>
  <c r="AP7" i="4"/>
  <c r="AO7" i="4" s="1"/>
  <c r="AP12" i="4"/>
  <c r="AO12" i="4" s="1"/>
  <c r="AP11" i="4"/>
  <c r="AO11" i="4" s="1"/>
  <c r="AP9" i="4"/>
  <c r="AO9" i="4" s="1"/>
  <c r="AP8" i="4"/>
  <c r="AO8" i="4" s="1"/>
  <c r="E58" i="4"/>
  <c r="B49" i="4"/>
  <c r="B53" i="4"/>
  <c r="E6" i="4"/>
  <c r="E84" i="4" s="1"/>
  <c r="B89" i="4"/>
  <c r="F54" i="26"/>
  <c r="BC54" i="26" s="1"/>
  <c r="AV110" i="4"/>
  <c r="AV123" i="4" s="1"/>
  <c r="AV136" i="4" s="1"/>
  <c r="AV149" i="4" s="1"/>
  <c r="AV162" i="4" s="1"/>
  <c r="AV175" i="4" s="1"/>
  <c r="AV188" i="4" s="1"/>
  <c r="AV201" i="4" s="1"/>
  <c r="AV214" i="4" s="1"/>
  <c r="AV227" i="4" s="1"/>
  <c r="AV240" i="4" s="1"/>
  <c r="AV253" i="4" s="1"/>
  <c r="AV266" i="4" s="1"/>
  <c r="AV279" i="4" s="1"/>
  <c r="AV292" i="4" s="1"/>
  <c r="AV305" i="4" s="1"/>
  <c r="AV318" i="4" s="1"/>
  <c r="AV331" i="4" s="1"/>
  <c r="AV344" i="4" s="1"/>
  <c r="AV357" i="4" s="1"/>
  <c r="AV370" i="4" s="1"/>
  <c r="AV383" i="4" s="1"/>
  <c r="AV396" i="4" s="1"/>
  <c r="AV409" i="4" s="1"/>
  <c r="AV422" i="4" s="1"/>
  <c r="AV435" i="4" s="1"/>
  <c r="AV448" i="4" s="1"/>
  <c r="AW83" i="4"/>
  <c r="AW90" i="4"/>
  <c r="AV109" i="4"/>
  <c r="AV122" i="4" s="1"/>
  <c r="AV135" i="4" s="1"/>
  <c r="AV148" i="4" s="1"/>
  <c r="AV161" i="4" s="1"/>
  <c r="AV174" i="4" s="1"/>
  <c r="AV187" i="4" s="1"/>
  <c r="AV200" i="4" s="1"/>
  <c r="AV213" i="4" s="1"/>
  <c r="AV226" i="4" s="1"/>
  <c r="AV239" i="4" s="1"/>
  <c r="AV252" i="4" s="1"/>
  <c r="AV265" i="4" s="1"/>
  <c r="AV278" i="4" s="1"/>
  <c r="AV291" i="4" s="1"/>
  <c r="AV304" i="4" s="1"/>
  <c r="AV317" i="4" s="1"/>
  <c r="AV330" i="4" s="1"/>
  <c r="AV343" i="4" s="1"/>
  <c r="AV356" i="4" s="1"/>
  <c r="AV369" i="4" s="1"/>
  <c r="AV382" i="4" s="1"/>
  <c r="AV395" i="4" s="1"/>
  <c r="AV408" i="4" s="1"/>
  <c r="AV421" i="4" s="1"/>
  <c r="AV434" i="4" s="1"/>
  <c r="AV447" i="4" s="1"/>
  <c r="AV105" i="4"/>
  <c r="AV118" i="4"/>
  <c r="AV131" i="4" s="1"/>
  <c r="AV144" i="4" s="1"/>
  <c r="AV157" i="4" s="1"/>
  <c r="AV170" i="4" s="1"/>
  <c r="AV183" i="4" s="1"/>
  <c r="AV196" i="4" s="1"/>
  <c r="AV209" i="4" s="1"/>
  <c r="AV222" i="4" s="1"/>
  <c r="AV235" i="4" s="1"/>
  <c r="AV248" i="4" s="1"/>
  <c r="AV261" i="4" s="1"/>
  <c r="AV274" i="4" s="1"/>
  <c r="AV287" i="4" s="1"/>
  <c r="AV300" i="4" s="1"/>
  <c r="AV313" i="4" s="1"/>
  <c r="AV326" i="4" s="1"/>
  <c r="AV339" i="4" s="1"/>
  <c r="AV352" i="4" s="1"/>
  <c r="AV365" i="4" s="1"/>
  <c r="AV378" i="4" s="1"/>
  <c r="AV391" i="4" s="1"/>
  <c r="AV404" i="4" s="1"/>
  <c r="AV417" i="4" s="1"/>
  <c r="AV430" i="4" s="1"/>
  <c r="AV443" i="4" s="1"/>
  <c r="AV456" i="4" s="1"/>
  <c r="AV106" i="4"/>
  <c r="AV119" i="4" s="1"/>
  <c r="AV132" i="4" s="1"/>
  <c r="AV145" i="4" s="1"/>
  <c r="AV158" i="4" s="1"/>
  <c r="AV171" i="4" s="1"/>
  <c r="AV184" i="4" s="1"/>
  <c r="AV197" i="4" s="1"/>
  <c r="AV210" i="4" s="1"/>
  <c r="AV223" i="4" s="1"/>
  <c r="AV236" i="4" s="1"/>
  <c r="AV249" i="4" s="1"/>
  <c r="AV262" i="4" s="1"/>
  <c r="AV275" i="4" s="1"/>
  <c r="AV288" i="4" s="1"/>
  <c r="AV301" i="4" s="1"/>
  <c r="AV314" i="4" s="1"/>
  <c r="AV327" i="4" s="1"/>
  <c r="AV340" i="4" s="1"/>
  <c r="AV353" i="4" s="1"/>
  <c r="AV366" i="4" s="1"/>
  <c r="AV379" i="4" s="1"/>
  <c r="AV392" i="4" s="1"/>
  <c r="AV405" i="4" s="1"/>
  <c r="AV418" i="4" s="1"/>
  <c r="AV431" i="4" s="1"/>
  <c r="AV444" i="4" s="1"/>
  <c r="AV457" i="4" s="1"/>
  <c r="AV107" i="4"/>
  <c r="AV120" i="4"/>
  <c r="AV133" i="4" s="1"/>
  <c r="AV146" i="4" s="1"/>
  <c r="AV159" i="4" s="1"/>
  <c r="AV172" i="4" s="1"/>
  <c r="AV185" i="4" s="1"/>
  <c r="AV198" i="4" s="1"/>
  <c r="AV211" i="4" s="1"/>
  <c r="AV224" i="4" s="1"/>
  <c r="AV237" i="4" s="1"/>
  <c r="AV250" i="4" s="1"/>
  <c r="AV263" i="4" s="1"/>
  <c r="AV276" i="4" s="1"/>
  <c r="AV289" i="4" s="1"/>
  <c r="AV302" i="4" s="1"/>
  <c r="AV315" i="4" s="1"/>
  <c r="AV328" i="4" s="1"/>
  <c r="AV341" i="4" s="1"/>
  <c r="AV354" i="4" s="1"/>
  <c r="AV367" i="4" s="1"/>
  <c r="AV380" i="4" s="1"/>
  <c r="AV393" i="4" s="1"/>
  <c r="AV406" i="4" s="1"/>
  <c r="AV419" i="4" s="1"/>
  <c r="AV432" i="4" s="1"/>
  <c r="AV445" i="4" s="1"/>
  <c r="E25" i="27"/>
  <c r="E41" i="27"/>
  <c r="E24" i="27"/>
  <c r="E18" i="27"/>
  <c r="E42" i="27"/>
  <c r="E39" i="27"/>
  <c r="E16" i="27"/>
  <c r="E10" i="27"/>
  <c r="E19" i="27"/>
  <c r="E23" i="27"/>
  <c r="E7" i="27"/>
  <c r="E11" i="27"/>
  <c r="E29" i="27"/>
  <c r="E37" i="27"/>
  <c r="E4" i="27"/>
  <c r="E20" i="27"/>
  <c r="E32" i="27"/>
  <c r="E14" i="27"/>
  <c r="E38" i="27"/>
  <c r="E26" i="27"/>
  <c r="E8" i="27"/>
  <c r="E31" i="27"/>
  <c r="E5" i="27"/>
  <c r="E36" i="27"/>
  <c r="E17" i="27"/>
  <c r="E6" i="27"/>
  <c r="E27" i="27"/>
  <c r="E43" i="27"/>
  <c r="E28" i="27"/>
  <c r="E30" i="27"/>
  <c r="E9" i="27"/>
  <c r="E33" i="27"/>
  <c r="E15" i="27"/>
  <c r="E40" i="27"/>
  <c r="E21" i="27"/>
  <c r="E12" i="27"/>
  <c r="E22" i="27"/>
  <c r="E34" i="27"/>
  <c r="E35" i="27"/>
  <c r="E13" i="27"/>
  <c r="AW33" i="4" l="1"/>
  <c r="E44" i="4"/>
  <c r="F20" i="4"/>
  <c r="AW22" i="4"/>
  <c r="AW26" i="4"/>
  <c r="BT96" i="26"/>
  <c r="BF92" i="26"/>
  <c r="K59" i="3"/>
  <c r="K60" i="3" s="1"/>
  <c r="C98" i="26"/>
  <c r="C99" i="26" s="1"/>
  <c r="BD97" i="26"/>
  <c r="BF78" i="26"/>
  <c r="BF83" i="26"/>
  <c r="BF72" i="26"/>
  <c r="BF99" i="26"/>
  <c r="BF67" i="26"/>
  <c r="BF102" i="26"/>
  <c r="BF94" i="26"/>
  <c r="BF62" i="26"/>
  <c r="BF91" i="26"/>
  <c r="BF75" i="26"/>
  <c r="BF59" i="26"/>
  <c r="BD82" i="26"/>
  <c r="BF106" i="26"/>
  <c r="BF88" i="26"/>
  <c r="BF56" i="26"/>
  <c r="BF86" i="26"/>
  <c r="BF70" i="26"/>
  <c r="BF54" i="26"/>
  <c r="BF49" i="26" s="1"/>
  <c r="BF95" i="26"/>
  <c r="BF87" i="26"/>
  <c r="BF79" i="26"/>
  <c r="BF71" i="26"/>
  <c r="BF63" i="26"/>
  <c r="BF55" i="26"/>
  <c r="BF84" i="26"/>
  <c r="BF105" i="26"/>
  <c r="BF115" i="26"/>
  <c r="BF113" i="26"/>
  <c r="BF111" i="26"/>
  <c r="BF109" i="26"/>
  <c r="BF114" i="26"/>
  <c r="BF112" i="26"/>
  <c r="BF110" i="26"/>
  <c r="BF108" i="26"/>
  <c r="BF104" i="26"/>
  <c r="BF96" i="26"/>
  <c r="BF80" i="26"/>
  <c r="BF64" i="26"/>
  <c r="BF98" i="26"/>
  <c r="BF90" i="26"/>
  <c r="BF82" i="26"/>
  <c r="BF74" i="26"/>
  <c r="BF66" i="26"/>
  <c r="BF58" i="26"/>
  <c r="BF101" i="26"/>
  <c r="BF97" i="26"/>
  <c r="BF93" i="26"/>
  <c r="BF89" i="26"/>
  <c r="BF85" i="26"/>
  <c r="BF81" i="26"/>
  <c r="BF77" i="26"/>
  <c r="BF73" i="26"/>
  <c r="BF69" i="26"/>
  <c r="BF65" i="26"/>
  <c r="BF61" i="26"/>
  <c r="BF57" i="26"/>
  <c r="BF53" i="26"/>
  <c r="BF68" i="26"/>
  <c r="BF100" i="26"/>
  <c r="BF107" i="26"/>
  <c r="BF103" i="26"/>
  <c r="BF76" i="26"/>
  <c r="BF52" i="26"/>
  <c r="F39" i="26"/>
  <c r="F30" i="26"/>
  <c r="F38" i="26"/>
  <c r="F34" i="26"/>
  <c r="F28" i="26"/>
  <c r="F33" i="26"/>
  <c r="F37" i="26"/>
  <c r="F32" i="26"/>
  <c r="F36" i="26"/>
  <c r="F31" i="26"/>
  <c r="F35" i="26"/>
  <c r="BE85" i="26"/>
  <c r="BE101" i="26"/>
  <c r="BE69" i="26"/>
  <c r="BE93" i="26"/>
  <c r="BE77" i="26"/>
  <c r="BE61" i="26"/>
  <c r="BE97" i="26"/>
  <c r="BE89" i="26"/>
  <c r="BE81" i="26"/>
  <c r="BE73" i="26"/>
  <c r="BE65" i="26"/>
  <c r="BE57" i="26"/>
  <c r="BE99" i="26"/>
  <c r="BE95" i="26"/>
  <c r="BE91" i="26"/>
  <c r="BE87" i="26"/>
  <c r="BE83" i="26"/>
  <c r="BE79" i="26"/>
  <c r="BE75" i="26"/>
  <c r="BE71" i="26"/>
  <c r="BE67" i="26"/>
  <c r="BE63" i="26"/>
  <c r="BE59" i="26"/>
  <c r="BE115" i="26"/>
  <c r="BE114" i="26"/>
  <c r="BE113" i="26"/>
  <c r="BE112" i="26"/>
  <c r="BE111" i="26"/>
  <c r="BE110" i="26"/>
  <c r="BE109" i="26"/>
  <c r="AJ4" i="26"/>
  <c r="O15" i="26" s="1"/>
  <c r="I39" i="26"/>
  <c r="AJ23" i="26"/>
  <c r="I30" i="26"/>
  <c r="I28" i="26"/>
  <c r="I29" i="26"/>
  <c r="C44" i="4"/>
  <c r="AW8" i="4"/>
  <c r="AW16" i="4"/>
  <c r="AW19" i="4"/>
  <c r="AW10" i="4"/>
  <c r="AW12" i="4"/>
  <c r="AW15" i="4"/>
  <c r="AW7" i="4"/>
  <c r="AW14" i="4"/>
  <c r="AW17" i="4"/>
  <c r="AW9" i="4"/>
  <c r="AW11" i="4"/>
  <c r="AW13" i="4"/>
  <c r="AW18" i="4"/>
  <c r="AW89" i="4"/>
  <c r="AW91" i="4"/>
  <c r="I36" i="26"/>
  <c r="I34" i="26"/>
  <c r="I31" i="26"/>
  <c r="I37" i="26"/>
  <c r="I33" i="26"/>
  <c r="I32" i="26"/>
  <c r="BO49" i="26"/>
  <c r="E62" i="4"/>
  <c r="AW84" i="4"/>
  <c r="AW88" i="4"/>
  <c r="AW87" i="4"/>
  <c r="AW86" i="4"/>
  <c r="AW85" i="4"/>
  <c r="AW60" i="4"/>
  <c r="B67" i="4"/>
  <c r="B10" i="4"/>
  <c r="AV11" i="4"/>
  <c r="AV24" i="4" s="1"/>
  <c r="AV85" i="4" s="1"/>
  <c r="B16" i="4"/>
  <c r="B71" i="4"/>
  <c r="AW28" i="4"/>
  <c r="D84" i="4"/>
  <c r="D62" i="4"/>
  <c r="AW31" i="4"/>
  <c r="AW27" i="4"/>
  <c r="AW25" i="4"/>
  <c r="AW23" i="4"/>
  <c r="AW21" i="4"/>
  <c r="L62" i="3"/>
  <c r="L23" i="3" s="1"/>
  <c r="L25" i="3" s="1"/>
  <c r="L84" i="3" s="1"/>
  <c r="BB54" i="26"/>
  <c r="BA54" i="26"/>
  <c r="F55" i="26"/>
  <c r="BA53" i="26"/>
  <c r="BB53" i="26"/>
  <c r="BC53" i="26"/>
  <c r="K62" i="3"/>
  <c r="K23" i="3" s="1"/>
  <c r="K25" i="3" s="1"/>
  <c r="L82" i="3" s="1"/>
  <c r="BE52" i="26"/>
  <c r="BE54" i="26"/>
  <c r="BE56" i="26"/>
  <c r="BE58" i="26"/>
  <c r="BE60" i="26"/>
  <c r="BE62" i="26"/>
  <c r="BE64" i="26"/>
  <c r="BE66" i="26"/>
  <c r="BE68" i="26"/>
  <c r="BE70" i="26"/>
  <c r="BE72" i="26"/>
  <c r="BE74" i="26"/>
  <c r="BE76" i="26"/>
  <c r="BE78" i="26"/>
  <c r="BE80" i="26"/>
  <c r="BE82" i="26"/>
  <c r="BE84" i="26"/>
  <c r="BE86" i="26"/>
  <c r="BE88" i="26"/>
  <c r="BE90" i="26"/>
  <c r="BE92" i="26"/>
  <c r="BE94" i="26"/>
  <c r="BE96" i="26"/>
  <c r="BE98" i="26"/>
  <c r="BE100" i="26"/>
  <c r="BE104" i="26"/>
  <c r="BE105" i="26"/>
  <c r="BE108" i="26"/>
  <c r="BD52" i="26"/>
  <c r="M16" i="27"/>
  <c r="BD94" i="26"/>
  <c r="BD78" i="26"/>
  <c r="BD62" i="26"/>
  <c r="BD92" i="26"/>
  <c r="BD84" i="26"/>
  <c r="BD76" i="26"/>
  <c r="BD68" i="26"/>
  <c r="BD60" i="26"/>
  <c r="BD95" i="26"/>
  <c r="BD91" i="26"/>
  <c r="BD87" i="26"/>
  <c r="BD83" i="26"/>
  <c r="BD79" i="26"/>
  <c r="BD75" i="26"/>
  <c r="BD71" i="26"/>
  <c r="BD67" i="26"/>
  <c r="BD63" i="26"/>
  <c r="BD59" i="26"/>
  <c r="BD55" i="26"/>
  <c r="BD58" i="26"/>
  <c r="BD66" i="26"/>
  <c r="AP26" i="4"/>
  <c r="AO26" i="4" s="1"/>
  <c r="AK21" i="26"/>
  <c r="AK13" i="26"/>
  <c r="AK9" i="26"/>
  <c r="AK8" i="26"/>
  <c r="AK5" i="26"/>
  <c r="C84" i="4"/>
  <c r="C62" i="4"/>
  <c r="BA94" i="26"/>
  <c r="BB52" i="26"/>
  <c r="O12" i="26"/>
  <c r="O10" i="26"/>
  <c r="O14" i="26"/>
  <c r="H52" i="26"/>
  <c r="H90" i="26"/>
  <c r="H86" i="26"/>
  <c r="H82" i="26"/>
  <c r="H78" i="26"/>
  <c r="H74" i="26"/>
  <c r="H70" i="26"/>
  <c r="H66" i="26"/>
  <c r="H62" i="26"/>
  <c r="H58" i="26"/>
  <c r="H54" i="26"/>
  <c r="H98" i="26"/>
  <c r="H96" i="26"/>
  <c r="H93" i="26"/>
  <c r="H89" i="26"/>
  <c r="H85" i="26"/>
  <c r="H81" i="26"/>
  <c r="H77" i="26"/>
  <c r="H73" i="26"/>
  <c r="H69" i="26"/>
  <c r="H65" i="26"/>
  <c r="H61" i="26"/>
  <c r="H57" i="26"/>
  <c r="H53" i="26"/>
  <c r="O11" i="26"/>
  <c r="O16" i="26"/>
  <c r="O9" i="26"/>
  <c r="H94" i="26"/>
  <c r="H92" i="26"/>
  <c r="H88" i="26"/>
  <c r="H84" i="26"/>
  <c r="H80" i="26"/>
  <c r="H76" i="26"/>
  <c r="H72" i="26"/>
  <c r="H68" i="26"/>
  <c r="H64" i="26"/>
  <c r="H60" i="26"/>
  <c r="H56" i="26"/>
  <c r="H99" i="26"/>
  <c r="H97" i="26"/>
  <c r="H95" i="26"/>
  <c r="H91" i="26"/>
  <c r="H87" i="26"/>
  <c r="H83" i="26"/>
  <c r="H79" i="26"/>
  <c r="H75" i="26"/>
  <c r="H71" i="26"/>
  <c r="H67" i="26"/>
  <c r="H63" i="26"/>
  <c r="H59" i="26"/>
  <c r="H55" i="26"/>
  <c r="F58" i="4" l="1"/>
  <c r="F76" i="4"/>
  <c r="F6" i="4"/>
  <c r="G20" i="4"/>
  <c r="BD98" i="26"/>
  <c r="BD99" i="26"/>
  <c r="C100" i="26"/>
  <c r="AJ22" i="26"/>
  <c r="O13" i="26"/>
  <c r="J94" i="26"/>
  <c r="M94" i="26" s="1"/>
  <c r="N53" i="26"/>
  <c r="K53" i="26"/>
  <c r="J53" i="26"/>
  <c r="M53" i="26" s="1"/>
  <c r="K55" i="26"/>
  <c r="N55" i="26"/>
  <c r="N57" i="26"/>
  <c r="K57" i="26"/>
  <c r="K59" i="26"/>
  <c r="N59" i="26"/>
  <c r="N61" i="26"/>
  <c r="K61" i="26"/>
  <c r="K63" i="26"/>
  <c r="N63" i="26"/>
  <c r="N65" i="26"/>
  <c r="K65" i="26"/>
  <c r="K67" i="26"/>
  <c r="N67" i="26"/>
  <c r="N69" i="26"/>
  <c r="K69" i="26"/>
  <c r="K71" i="26"/>
  <c r="N71" i="26"/>
  <c r="K73" i="26"/>
  <c r="N73" i="26"/>
  <c r="K75" i="26"/>
  <c r="N75" i="26"/>
  <c r="N77" i="26"/>
  <c r="K77" i="26"/>
  <c r="K79" i="26"/>
  <c r="N79" i="26"/>
  <c r="K81" i="26"/>
  <c r="N81" i="26"/>
  <c r="K83" i="26"/>
  <c r="N83" i="26"/>
  <c r="K85" i="26"/>
  <c r="N85" i="26"/>
  <c r="K87" i="26"/>
  <c r="N87" i="26"/>
  <c r="K89" i="26"/>
  <c r="N89" i="26"/>
  <c r="K91" i="26"/>
  <c r="N91" i="26"/>
  <c r="K93" i="26"/>
  <c r="N93" i="26"/>
  <c r="K95" i="26"/>
  <c r="J95" i="26"/>
  <c r="N95" i="26"/>
  <c r="K96" i="26"/>
  <c r="N96" i="26"/>
  <c r="J96" i="26"/>
  <c r="K97" i="26"/>
  <c r="J97" i="26"/>
  <c r="N97" i="26"/>
  <c r="K98" i="26"/>
  <c r="N98" i="26"/>
  <c r="J98" i="26"/>
  <c r="K99" i="26"/>
  <c r="J99" i="26"/>
  <c r="N99" i="26"/>
  <c r="K54" i="26"/>
  <c r="N54" i="26"/>
  <c r="J54" i="26"/>
  <c r="M54" i="26" s="1"/>
  <c r="K56" i="26"/>
  <c r="N56" i="26"/>
  <c r="K58" i="26"/>
  <c r="N58" i="26"/>
  <c r="K60" i="26"/>
  <c r="N60" i="26"/>
  <c r="K62" i="26"/>
  <c r="N62" i="26"/>
  <c r="K64" i="26"/>
  <c r="N64" i="26"/>
  <c r="K66" i="26"/>
  <c r="N66" i="26"/>
  <c r="K68" i="26"/>
  <c r="N68" i="26"/>
  <c r="K70" i="26"/>
  <c r="N70" i="26"/>
  <c r="K72" i="26"/>
  <c r="N72" i="26"/>
  <c r="K74" i="26"/>
  <c r="N74" i="26"/>
  <c r="K76" i="26"/>
  <c r="N76" i="26"/>
  <c r="K78" i="26"/>
  <c r="N78" i="26"/>
  <c r="K80" i="26"/>
  <c r="N80" i="26"/>
  <c r="K82" i="26"/>
  <c r="N82" i="26"/>
  <c r="K84" i="26"/>
  <c r="N84" i="26"/>
  <c r="K86" i="26"/>
  <c r="N86" i="26"/>
  <c r="K88" i="26"/>
  <c r="N88" i="26"/>
  <c r="K90" i="26"/>
  <c r="N90" i="26"/>
  <c r="K92" i="26"/>
  <c r="N92" i="26"/>
  <c r="K52" i="26"/>
  <c r="N52" i="26"/>
  <c r="J52" i="26"/>
  <c r="M52" i="26" s="1"/>
  <c r="J14" i="26"/>
  <c r="AP20" i="4"/>
  <c r="AO20" i="4" s="1"/>
  <c r="M17" i="27"/>
  <c r="AK15" i="26"/>
  <c r="K94" i="26"/>
  <c r="N94" i="26"/>
  <c r="BA55" i="26"/>
  <c r="BB55" i="26"/>
  <c r="J55" i="26"/>
  <c r="M55" i="26" s="1"/>
  <c r="F56" i="26"/>
  <c r="BC55" i="26"/>
  <c r="AP22" i="4"/>
  <c r="AO22" i="4" s="1"/>
  <c r="AK17" i="26"/>
  <c r="M19" i="27"/>
  <c r="B72" i="4"/>
  <c r="AV16" i="4"/>
  <c r="AV29" i="4" s="1"/>
  <c r="AV90" i="4" s="1"/>
  <c r="AV103" i="4" s="1"/>
  <c r="AV116" i="4" s="1"/>
  <c r="AV129" i="4" s="1"/>
  <c r="AV142" i="4" s="1"/>
  <c r="AV155" i="4" s="1"/>
  <c r="AV168" i="4" s="1"/>
  <c r="AV181" i="4" s="1"/>
  <c r="AV194" i="4" s="1"/>
  <c r="AV207" i="4" s="1"/>
  <c r="AV220" i="4" s="1"/>
  <c r="AV233" i="4" s="1"/>
  <c r="AV246" i="4" s="1"/>
  <c r="AV259" i="4" s="1"/>
  <c r="AV272" i="4" s="1"/>
  <c r="AV285" i="4" s="1"/>
  <c r="AV298" i="4" s="1"/>
  <c r="AV311" i="4" s="1"/>
  <c r="AV324" i="4" s="1"/>
  <c r="AV337" i="4" s="1"/>
  <c r="AV350" i="4" s="1"/>
  <c r="AV363" i="4" s="1"/>
  <c r="AV376" i="4" s="1"/>
  <c r="AV389" i="4" s="1"/>
  <c r="AV402" i="4" s="1"/>
  <c r="AV415" i="4" s="1"/>
  <c r="AV428" i="4" s="1"/>
  <c r="AV441" i="4" s="1"/>
  <c r="AV454" i="4" s="1"/>
  <c r="B54" i="4"/>
  <c r="B17" i="4"/>
  <c r="B66" i="4"/>
  <c r="B9" i="4"/>
  <c r="AV10" i="4"/>
  <c r="AV23" i="4" s="1"/>
  <c r="AV84" i="4" s="1"/>
  <c r="B88" i="4"/>
  <c r="B48" i="4"/>
  <c r="BE49" i="26"/>
  <c r="AN52" i="26"/>
  <c r="AS52" i="26"/>
  <c r="AP52" i="26"/>
  <c r="AK52" i="26"/>
  <c r="AR52" i="26"/>
  <c r="D87" i="4"/>
  <c r="F87" i="4"/>
  <c r="G89" i="4"/>
  <c r="G87" i="4"/>
  <c r="E91" i="4"/>
  <c r="E90" i="4"/>
  <c r="D89" i="4"/>
  <c r="C90" i="4"/>
  <c r="E88" i="4"/>
  <c r="F89" i="4"/>
  <c r="AM52" i="26"/>
  <c r="AQ52" i="26"/>
  <c r="AL52" i="26"/>
  <c r="AO52" i="26"/>
  <c r="H100" i="26"/>
  <c r="E87" i="4"/>
  <c r="C87" i="4"/>
  <c r="G90" i="4"/>
  <c r="G88" i="4"/>
  <c r="G91" i="4"/>
  <c r="E89" i="4"/>
  <c r="D90" i="4"/>
  <c r="D91" i="4"/>
  <c r="C89" i="4"/>
  <c r="D88" i="4"/>
  <c r="F90" i="4"/>
  <c r="F88" i="4"/>
  <c r="C91" i="4"/>
  <c r="C88" i="4"/>
  <c r="F91" i="4"/>
  <c r="F84" i="4" l="1"/>
  <c r="AW101" i="4"/>
  <c r="F44" i="4"/>
  <c r="AW102" i="4"/>
  <c r="AW105" i="4"/>
  <c r="F62" i="4"/>
  <c r="AW103" i="4"/>
  <c r="AW104" i="4"/>
  <c r="AW106" i="4"/>
  <c r="AW100" i="4"/>
  <c r="AW99" i="4"/>
  <c r="G6" i="4"/>
  <c r="G58" i="4"/>
  <c r="H20" i="4"/>
  <c r="G76" i="4"/>
  <c r="K100" i="26"/>
  <c r="J100" i="26"/>
  <c r="N100" i="26"/>
  <c r="BD100" i="26"/>
  <c r="C101" i="26"/>
  <c r="B65" i="4"/>
  <c r="B8" i="4"/>
  <c r="AV9" i="4"/>
  <c r="AV22" i="4" s="1"/>
  <c r="AV83" i="4" s="1"/>
  <c r="B47" i="4"/>
  <c r="B87" i="4"/>
  <c r="B73" i="4"/>
  <c r="AV17" i="4"/>
  <c r="AV30" i="4" s="1"/>
  <c r="AV91" i="4" s="1"/>
  <c r="AV104" i="4" s="1"/>
  <c r="AV117" i="4" s="1"/>
  <c r="AV130" i="4" s="1"/>
  <c r="AV143" i="4" s="1"/>
  <c r="AV156" i="4" s="1"/>
  <c r="AV169" i="4" s="1"/>
  <c r="AV182" i="4" s="1"/>
  <c r="AV195" i="4" s="1"/>
  <c r="AV208" i="4" s="1"/>
  <c r="AV221" i="4" s="1"/>
  <c r="AV234" i="4" s="1"/>
  <c r="AV247" i="4" s="1"/>
  <c r="AV260" i="4" s="1"/>
  <c r="AV273" i="4" s="1"/>
  <c r="AV286" i="4" s="1"/>
  <c r="AV299" i="4" s="1"/>
  <c r="AV312" i="4" s="1"/>
  <c r="AV325" i="4" s="1"/>
  <c r="AV338" i="4" s="1"/>
  <c r="AV351" i="4" s="1"/>
  <c r="AV364" i="4" s="1"/>
  <c r="AV377" i="4" s="1"/>
  <c r="AV390" i="4" s="1"/>
  <c r="AV403" i="4" s="1"/>
  <c r="AV416" i="4" s="1"/>
  <c r="AV429" i="4" s="1"/>
  <c r="AV442" i="4" s="1"/>
  <c r="AV455" i="4" s="1"/>
  <c r="B55" i="4"/>
  <c r="B18" i="4"/>
  <c r="BB56" i="26"/>
  <c r="J56" i="26"/>
  <c r="M56" i="26" s="1"/>
  <c r="BA56" i="26"/>
  <c r="F57" i="26"/>
  <c r="BC56" i="26"/>
  <c r="F51" i="4"/>
  <c r="C51" i="4"/>
  <c r="F50" i="4"/>
  <c r="C49" i="4"/>
  <c r="D50" i="4"/>
  <c r="G51" i="4"/>
  <c r="G50" i="4"/>
  <c r="E47" i="4"/>
  <c r="E48" i="4"/>
  <c r="D49" i="4"/>
  <c r="E51" i="4"/>
  <c r="G49" i="4"/>
  <c r="D47" i="4"/>
  <c r="G86" i="4"/>
  <c r="C48" i="4"/>
  <c r="F48" i="4"/>
  <c r="D48" i="4"/>
  <c r="D51" i="4"/>
  <c r="E49" i="4"/>
  <c r="G48" i="4"/>
  <c r="C47" i="4"/>
  <c r="F49" i="4"/>
  <c r="C50" i="4"/>
  <c r="E50" i="4"/>
  <c r="G47" i="4"/>
  <c r="F47" i="4"/>
  <c r="H101" i="26"/>
  <c r="F86" i="4"/>
  <c r="D86" i="4"/>
  <c r="H86" i="4"/>
  <c r="C86" i="4"/>
  <c r="E86" i="4"/>
  <c r="F9" i="4" l="1"/>
  <c r="F55" i="4"/>
  <c r="G55" i="4"/>
  <c r="E52" i="4"/>
  <c r="E12" i="4"/>
  <c r="C52" i="4"/>
  <c r="C12" i="4"/>
  <c r="F53" i="4"/>
  <c r="F11" i="4"/>
  <c r="C9" i="4"/>
  <c r="C55" i="4"/>
  <c r="G54" i="4"/>
  <c r="E53" i="4"/>
  <c r="E11" i="4"/>
  <c r="D13" i="4"/>
  <c r="D10" i="4"/>
  <c r="D54" i="4"/>
  <c r="F54" i="4"/>
  <c r="F10" i="4"/>
  <c r="C54" i="4"/>
  <c r="C10" i="4"/>
  <c r="D9" i="4"/>
  <c r="D55" i="4"/>
  <c r="G53" i="4"/>
  <c r="E13" i="4"/>
  <c r="D53" i="4"/>
  <c r="D11" i="4"/>
  <c r="E54" i="4"/>
  <c r="E10" i="4"/>
  <c r="E9" i="4"/>
  <c r="E17" i="4" s="1"/>
  <c r="AU91" i="4" s="1"/>
  <c r="E55" i="4"/>
  <c r="G52" i="4"/>
  <c r="D52" i="4"/>
  <c r="D12" i="4"/>
  <c r="AU25" i="4" s="1"/>
  <c r="C11" i="4"/>
  <c r="C53" i="4"/>
  <c r="F52" i="4"/>
  <c r="F12" i="4"/>
  <c r="E68" i="4" s="1"/>
  <c r="E70" i="4" s="1"/>
  <c r="C13" i="4"/>
  <c r="F13" i="4"/>
  <c r="H6" i="4"/>
  <c r="H58" i="4"/>
  <c r="I20" i="4"/>
  <c r="H76" i="4"/>
  <c r="AW116" i="4"/>
  <c r="AW113" i="4"/>
  <c r="AW119" i="4"/>
  <c r="G62" i="4"/>
  <c r="AW112" i="4"/>
  <c r="AW108" i="4"/>
  <c r="AW110" i="4"/>
  <c r="G44" i="4"/>
  <c r="AW109" i="4"/>
  <c r="AW118" i="4"/>
  <c r="AW115" i="4"/>
  <c r="AW111" i="4"/>
  <c r="G84" i="4"/>
  <c r="AW117" i="4"/>
  <c r="AW107" i="4"/>
  <c r="AW114" i="4"/>
  <c r="J101" i="26"/>
  <c r="K101" i="26"/>
  <c r="N101" i="26"/>
  <c r="BD101" i="26"/>
  <c r="C102" i="26"/>
  <c r="BD49" i="26"/>
  <c r="E15" i="4"/>
  <c r="AU89" i="4" s="1"/>
  <c r="AU86" i="4"/>
  <c r="E14" i="4"/>
  <c r="AU88" i="4" s="1"/>
  <c r="D14" i="4"/>
  <c r="AU27" i="4" s="1"/>
  <c r="D67" i="4"/>
  <c r="D71" i="4" s="1"/>
  <c r="D15" i="4"/>
  <c r="AU28" i="4" s="1"/>
  <c r="AU24" i="4"/>
  <c r="AU26" i="4"/>
  <c r="D69" i="4"/>
  <c r="AU12" i="4"/>
  <c r="C14" i="4"/>
  <c r="AU14" i="4" s="1"/>
  <c r="E66" i="4"/>
  <c r="E72" i="4" s="1"/>
  <c r="E16" i="4"/>
  <c r="AU90" i="4" s="1"/>
  <c r="AU84" i="4"/>
  <c r="AU10" i="4"/>
  <c r="C16" i="4"/>
  <c r="AU16" i="4" s="1"/>
  <c r="AU99" i="4"/>
  <c r="F15" i="4"/>
  <c r="AU102" i="4" s="1"/>
  <c r="F16" i="4"/>
  <c r="AU103" i="4" s="1"/>
  <c r="C69" i="4"/>
  <c r="AU13" i="4"/>
  <c r="E65" i="4"/>
  <c r="E73" i="4" s="1"/>
  <c r="AU83" i="4"/>
  <c r="AU22" i="4"/>
  <c r="C17" i="4"/>
  <c r="AU17" i="4" s="1"/>
  <c r="AU9" i="4"/>
  <c r="F17" i="4"/>
  <c r="AU104" i="4" s="1"/>
  <c r="E69" i="4"/>
  <c r="AU87" i="4"/>
  <c r="AU11" i="4"/>
  <c r="C67" i="4"/>
  <c r="C71" i="4" s="1"/>
  <c r="C15" i="4"/>
  <c r="AU15" i="4" s="1"/>
  <c r="D16" i="4"/>
  <c r="AU29" i="4" s="1"/>
  <c r="AU100" i="4"/>
  <c r="B74" i="4"/>
  <c r="AV18" i="4"/>
  <c r="AV31" i="4" s="1"/>
  <c r="B19" i="4"/>
  <c r="B56" i="4"/>
  <c r="BA57" i="26"/>
  <c r="BB57" i="26"/>
  <c r="J57" i="26"/>
  <c r="M57" i="26" s="1"/>
  <c r="BC57" i="26"/>
  <c r="F58" i="26"/>
  <c r="B64" i="4"/>
  <c r="B86" i="4"/>
  <c r="AV8" i="4"/>
  <c r="AV21" i="4" s="1"/>
  <c r="AV60" i="4" s="1"/>
  <c r="B46" i="4"/>
  <c r="B7" i="4"/>
  <c r="E46" i="4"/>
  <c r="H46" i="4"/>
  <c r="F46" i="4"/>
  <c r="G46" i="4"/>
  <c r="H88" i="4"/>
  <c r="H89" i="4"/>
  <c r="H102" i="26"/>
  <c r="G85" i="4"/>
  <c r="E85" i="4"/>
  <c r="C46" i="4"/>
  <c r="D46" i="4"/>
  <c r="H90" i="4"/>
  <c r="H91" i="4"/>
  <c r="H87" i="4"/>
  <c r="H85" i="4"/>
  <c r="F85" i="4"/>
  <c r="D85" i="4"/>
  <c r="C85" i="4"/>
  <c r="I85" i="4"/>
  <c r="D65" i="4" l="1"/>
  <c r="D73" i="4" s="1"/>
  <c r="C66" i="4"/>
  <c r="C72" i="4" s="1"/>
  <c r="E67" i="4"/>
  <c r="E71" i="4" s="1"/>
  <c r="C65" i="4"/>
  <c r="C73" i="4" s="1"/>
  <c r="AU23" i="4"/>
  <c r="D66" i="4"/>
  <c r="D72" i="4" s="1"/>
  <c r="D17" i="4"/>
  <c r="AU30" i="4" s="1"/>
  <c r="F14" i="4"/>
  <c r="AU101" i="4" s="1"/>
  <c r="C68" i="4"/>
  <c r="C70" i="4" s="1"/>
  <c r="D68" i="4"/>
  <c r="D70" i="4" s="1"/>
  <c r="AU85" i="4"/>
  <c r="D56" i="4"/>
  <c r="D8" i="4"/>
  <c r="C56" i="4"/>
  <c r="C8" i="4"/>
  <c r="G56" i="4"/>
  <c r="G8" i="4"/>
  <c r="F56" i="4"/>
  <c r="F8" i="4"/>
  <c r="H56" i="4"/>
  <c r="E56" i="4"/>
  <c r="E8" i="4"/>
  <c r="I76" i="4"/>
  <c r="J20" i="4"/>
  <c r="I58" i="4"/>
  <c r="I6" i="4"/>
  <c r="H44" i="4"/>
  <c r="AW131" i="4"/>
  <c r="AW126" i="4"/>
  <c r="H62" i="4"/>
  <c r="AW121" i="4"/>
  <c r="AW125" i="4"/>
  <c r="AW129" i="4"/>
  <c r="AW120" i="4"/>
  <c r="AW124" i="4"/>
  <c r="AW128" i="4"/>
  <c r="AW132" i="4"/>
  <c r="H84" i="4"/>
  <c r="AW123" i="4"/>
  <c r="AW127" i="4"/>
  <c r="AW122" i="4"/>
  <c r="AW130" i="4"/>
  <c r="K102" i="26"/>
  <c r="J102" i="26"/>
  <c r="N102" i="26"/>
  <c r="BD102" i="26"/>
  <c r="C103" i="26"/>
  <c r="BG102" i="26"/>
  <c r="BG76" i="26"/>
  <c r="BG52" i="26"/>
  <c r="BG80" i="26"/>
  <c r="BG93" i="26"/>
  <c r="BG59" i="26"/>
  <c r="BG67" i="26"/>
  <c r="BG79" i="26"/>
  <c r="BG92" i="26"/>
  <c r="BG58" i="26"/>
  <c r="BG77" i="26"/>
  <c r="BG56" i="26"/>
  <c r="BG73" i="26"/>
  <c r="BG98" i="26"/>
  <c r="BG101" i="26"/>
  <c r="BG72" i="26"/>
  <c r="BG90" i="26"/>
  <c r="BG57" i="26"/>
  <c r="BG65" i="26"/>
  <c r="BG75" i="26"/>
  <c r="BG85" i="26"/>
  <c r="BG54" i="26"/>
  <c r="BG70" i="26"/>
  <c r="BG94" i="26"/>
  <c r="BG68" i="26"/>
  <c r="BG96" i="26"/>
  <c r="BG89" i="26"/>
  <c r="BG91" i="26"/>
  <c r="BG88" i="26"/>
  <c r="BG55" i="26"/>
  <c r="BG63" i="26"/>
  <c r="BG71" i="26"/>
  <c r="BG82" i="26"/>
  <c r="BG97" i="26"/>
  <c r="BG66" i="26"/>
  <c r="BG83" i="26"/>
  <c r="BG64" i="26"/>
  <c r="BG87" i="26"/>
  <c r="BG100" i="26"/>
  <c r="BG86" i="26"/>
  <c r="BG84" i="26"/>
  <c r="BG53" i="26"/>
  <c r="BG61" i="26"/>
  <c r="BG69" i="26"/>
  <c r="BG74" i="26"/>
  <c r="BG95" i="26"/>
  <c r="BG62" i="26"/>
  <c r="BG78" i="26"/>
  <c r="BG60" i="26"/>
  <c r="BG81" i="26"/>
  <c r="BG99" i="26"/>
  <c r="AU21" i="4"/>
  <c r="B45" i="4"/>
  <c r="B85" i="4"/>
  <c r="B63" i="4"/>
  <c r="AV7" i="4"/>
  <c r="AV20" i="4" s="1"/>
  <c r="AV33" i="4" s="1"/>
  <c r="AV19" i="4"/>
  <c r="AV32" i="4" s="1"/>
  <c r="B57" i="4"/>
  <c r="B75" i="4"/>
  <c r="BB58" i="26"/>
  <c r="J58" i="26"/>
  <c r="M58" i="26" s="1"/>
  <c r="BA58" i="26"/>
  <c r="BC58" i="26"/>
  <c r="F59" i="26"/>
  <c r="I45" i="4"/>
  <c r="D45" i="4"/>
  <c r="H45" i="4"/>
  <c r="H51" i="4"/>
  <c r="E45" i="4"/>
  <c r="H49" i="4"/>
  <c r="I90" i="4"/>
  <c r="I87" i="4"/>
  <c r="I89" i="4"/>
  <c r="C45" i="4"/>
  <c r="F45" i="4"/>
  <c r="H47" i="4"/>
  <c r="H50" i="4"/>
  <c r="G45" i="4"/>
  <c r="H48" i="4"/>
  <c r="I91" i="4"/>
  <c r="I88" i="4"/>
  <c r="I86" i="4"/>
  <c r="H103" i="26"/>
  <c r="H54" i="4" l="1"/>
  <c r="G10" i="4"/>
  <c r="G57" i="4"/>
  <c r="G7" i="4"/>
  <c r="G19" i="4" s="1"/>
  <c r="AU119" i="4" s="1"/>
  <c r="H52" i="4"/>
  <c r="G12" i="4"/>
  <c r="H55" i="4"/>
  <c r="G9" i="4"/>
  <c r="F57" i="4"/>
  <c r="F7" i="4"/>
  <c r="C7" i="4"/>
  <c r="C57" i="4"/>
  <c r="H53" i="4"/>
  <c r="G11" i="4"/>
  <c r="E7" i="4"/>
  <c r="E57" i="4"/>
  <c r="G13" i="4"/>
  <c r="H57" i="4"/>
  <c r="H7" i="4"/>
  <c r="D7" i="4"/>
  <c r="D57" i="4"/>
  <c r="I57" i="4"/>
  <c r="AW140" i="4"/>
  <c r="AW139" i="4"/>
  <c r="AW136" i="4"/>
  <c r="AW145" i="4"/>
  <c r="AW143" i="4"/>
  <c r="AW138" i="4"/>
  <c r="AW135" i="4"/>
  <c r="AW141" i="4"/>
  <c r="I44" i="4"/>
  <c r="AW144" i="4"/>
  <c r="AW134" i="4"/>
  <c r="AW137" i="4"/>
  <c r="I84" i="4"/>
  <c r="AW133" i="4"/>
  <c r="I62" i="4"/>
  <c r="AW142" i="4"/>
  <c r="J76" i="4"/>
  <c r="J58" i="4"/>
  <c r="J6" i="4"/>
  <c r="K20" i="4"/>
  <c r="E64" i="4"/>
  <c r="E74" i="4" s="1"/>
  <c r="AU60" i="4"/>
  <c r="E18" i="4"/>
  <c r="F18" i="4"/>
  <c r="AU105" i="4" s="1"/>
  <c r="F64" i="4"/>
  <c r="F74" i="4" s="1"/>
  <c r="G18" i="4"/>
  <c r="AU118" i="4" s="1"/>
  <c r="AU108" i="4"/>
  <c r="AU8" i="4"/>
  <c r="C18" i="4"/>
  <c r="AU18" i="4" s="1"/>
  <c r="C64" i="4"/>
  <c r="C74" i="4" s="1"/>
  <c r="D18" i="4"/>
  <c r="AU31" i="4" s="1"/>
  <c r="D64" i="4"/>
  <c r="D74" i="4" s="1"/>
  <c r="J103" i="26"/>
  <c r="K103" i="26"/>
  <c r="N103" i="26"/>
  <c r="BG103" i="26"/>
  <c r="C104" i="26"/>
  <c r="BD103" i="26"/>
  <c r="AU7" i="4"/>
  <c r="C63" i="4"/>
  <c r="C75" i="4" s="1"/>
  <c r="C19" i="4"/>
  <c r="AU19" i="4" s="1"/>
  <c r="AU20" i="4"/>
  <c r="D19" i="4"/>
  <c r="AU32" i="4" s="1"/>
  <c r="E19" i="4"/>
  <c r="AU33" i="4"/>
  <c r="H19" i="4"/>
  <c r="AU132" i="4" s="1"/>
  <c r="AU120" i="4"/>
  <c r="G63" i="4"/>
  <c r="G75" i="4" s="1"/>
  <c r="AU107" i="4"/>
  <c r="F63" i="4"/>
  <c r="F75" i="4" s="1"/>
  <c r="BA59" i="26"/>
  <c r="BB59" i="26"/>
  <c r="J59" i="26"/>
  <c r="M59" i="26" s="1"/>
  <c r="F60" i="26"/>
  <c r="BC59" i="26"/>
  <c r="I46" i="4"/>
  <c r="I51" i="4"/>
  <c r="I49" i="4"/>
  <c r="I50" i="4"/>
  <c r="J89" i="4"/>
  <c r="J90" i="4"/>
  <c r="J91" i="4"/>
  <c r="J85" i="4"/>
  <c r="I48" i="4"/>
  <c r="I47" i="4"/>
  <c r="J87" i="4"/>
  <c r="J88" i="4"/>
  <c r="J86" i="4"/>
  <c r="H104" i="26"/>
  <c r="D63" i="4" l="1"/>
  <c r="D75" i="4" s="1"/>
  <c r="E63" i="4"/>
  <c r="E75" i="4" s="1"/>
  <c r="F19" i="4"/>
  <c r="AU106" i="4" s="1"/>
  <c r="I55" i="4"/>
  <c r="H9" i="4"/>
  <c r="I54" i="4"/>
  <c r="H10" i="4"/>
  <c r="I52" i="4"/>
  <c r="H12" i="4"/>
  <c r="I53" i="4"/>
  <c r="H11" i="4"/>
  <c r="G67" i="4" s="1"/>
  <c r="G71" i="4" s="1"/>
  <c r="H13" i="4"/>
  <c r="G69" i="4" s="1"/>
  <c r="I56" i="4"/>
  <c r="H8" i="4"/>
  <c r="K6" i="4"/>
  <c r="L20" i="4"/>
  <c r="K76" i="4"/>
  <c r="K58" i="4"/>
  <c r="AU113" i="4"/>
  <c r="F69" i="4"/>
  <c r="AU111" i="4"/>
  <c r="F67" i="4"/>
  <c r="F71" i="4" s="1"/>
  <c r="G15" i="4"/>
  <c r="AU115" i="4" s="1"/>
  <c r="G65" i="4"/>
  <c r="G73" i="4" s="1"/>
  <c r="F65" i="4"/>
  <c r="F73" i="4" s="1"/>
  <c r="G17" i="4"/>
  <c r="AU117" i="4" s="1"/>
  <c r="AU109" i="4"/>
  <c r="G66" i="4"/>
  <c r="G72" i="4" s="1"/>
  <c r="AU110" i="4"/>
  <c r="F66" i="4"/>
  <c r="F72" i="4" s="1"/>
  <c r="G16" i="4"/>
  <c r="AU116" i="4" s="1"/>
  <c r="J62" i="4"/>
  <c r="AW152" i="4"/>
  <c r="AW158" i="4"/>
  <c r="AW150" i="4"/>
  <c r="AW155" i="4"/>
  <c r="AW154" i="4"/>
  <c r="AW157" i="4"/>
  <c r="AW149" i="4"/>
  <c r="AW156" i="4"/>
  <c r="AW148" i="4"/>
  <c r="AW147" i="4"/>
  <c r="J84" i="4"/>
  <c r="AW153" i="4"/>
  <c r="AW146" i="4"/>
  <c r="AW151" i="4"/>
  <c r="J44" i="4"/>
  <c r="G14" i="4"/>
  <c r="AU114" i="4" s="1"/>
  <c r="AU112" i="4"/>
  <c r="G68" i="4"/>
  <c r="G70" i="4" s="1"/>
  <c r="F68" i="4"/>
  <c r="F70" i="4" s="1"/>
  <c r="K104" i="26"/>
  <c r="J104" i="26"/>
  <c r="N104" i="26"/>
  <c r="BD104" i="26"/>
  <c r="BG104" i="26"/>
  <c r="C105" i="26"/>
  <c r="BB60" i="26"/>
  <c r="J60" i="26"/>
  <c r="M60" i="26" s="1"/>
  <c r="BA60" i="26"/>
  <c r="BC60" i="26"/>
  <c r="F61" i="26"/>
  <c r="J46" i="4"/>
  <c r="J47" i="4"/>
  <c r="J51" i="4"/>
  <c r="J49" i="4"/>
  <c r="K90" i="4"/>
  <c r="K87" i="4"/>
  <c r="K89" i="4"/>
  <c r="K85" i="4"/>
  <c r="J48" i="4"/>
  <c r="J45" i="4"/>
  <c r="J50" i="4"/>
  <c r="K91" i="4"/>
  <c r="K88" i="4"/>
  <c r="K86" i="4"/>
  <c r="H105" i="26"/>
  <c r="J52" i="4" l="1"/>
  <c r="I12" i="4"/>
  <c r="H68" i="4" s="1"/>
  <c r="H70" i="4" s="1"/>
  <c r="J57" i="4"/>
  <c r="I7" i="4"/>
  <c r="J54" i="4"/>
  <c r="I10" i="4"/>
  <c r="J53" i="4"/>
  <c r="I11" i="4"/>
  <c r="I13" i="4"/>
  <c r="J55" i="4"/>
  <c r="I9" i="4"/>
  <c r="J56" i="4"/>
  <c r="I8" i="4"/>
  <c r="H64" i="4" s="1"/>
  <c r="H74" i="4" s="1"/>
  <c r="L58" i="4"/>
  <c r="L76" i="4"/>
  <c r="L6" i="4"/>
  <c r="M20" i="4"/>
  <c r="G64" i="4"/>
  <c r="G74" i="4" s="1"/>
  <c r="H18" i="4"/>
  <c r="AU131" i="4" s="1"/>
  <c r="AU121" i="4"/>
  <c r="AU125" i="4"/>
  <c r="H14" i="4"/>
  <c r="AU127" i="4" s="1"/>
  <c r="AU122" i="4"/>
  <c r="H65" i="4"/>
  <c r="H73" i="4" s="1"/>
  <c r="H17" i="4"/>
  <c r="AU130" i="4" s="1"/>
  <c r="AW160" i="4"/>
  <c r="AW168" i="4"/>
  <c r="AW171" i="4"/>
  <c r="AW165" i="4"/>
  <c r="AW166" i="4"/>
  <c r="AW170" i="4"/>
  <c r="K84" i="4"/>
  <c r="AW169" i="4"/>
  <c r="K44" i="4"/>
  <c r="AW162" i="4"/>
  <c r="AW163" i="4"/>
  <c r="AW164" i="4"/>
  <c r="K62" i="4"/>
  <c r="AW159" i="4"/>
  <c r="AW161" i="4"/>
  <c r="AW167" i="4"/>
  <c r="AU126" i="4"/>
  <c r="H69" i="4"/>
  <c r="AU124" i="4"/>
  <c r="H15" i="4"/>
  <c r="AU128" i="4" s="1"/>
  <c r="H67" i="4"/>
  <c r="H71" i="4" s="1"/>
  <c r="H16" i="4"/>
  <c r="AU129" i="4" s="1"/>
  <c r="H66" i="4"/>
  <c r="H72" i="4" s="1"/>
  <c r="AU123" i="4"/>
  <c r="J105" i="26"/>
  <c r="K105" i="26"/>
  <c r="N105" i="26"/>
  <c r="C106" i="26"/>
  <c r="BD105" i="26"/>
  <c r="BG105" i="26"/>
  <c r="BA61" i="26"/>
  <c r="BB61" i="26"/>
  <c r="J61" i="26"/>
  <c r="M61" i="26" s="1"/>
  <c r="BC61" i="26"/>
  <c r="F62" i="26"/>
  <c r="K46" i="4"/>
  <c r="K51" i="4"/>
  <c r="K45" i="4"/>
  <c r="K47" i="4"/>
  <c r="L89" i="4"/>
  <c r="L87" i="4"/>
  <c r="L86" i="4"/>
  <c r="K48" i="4"/>
  <c r="K49" i="4"/>
  <c r="K50" i="4"/>
  <c r="L90" i="4"/>
  <c r="L88" i="4"/>
  <c r="L91" i="4"/>
  <c r="L85" i="4"/>
  <c r="H106" i="26"/>
  <c r="K52" i="4" l="1"/>
  <c r="J12" i="4"/>
  <c r="K53" i="4"/>
  <c r="J11" i="4"/>
  <c r="I67" i="4" s="1"/>
  <c r="I71" i="4" s="1"/>
  <c r="K54" i="4"/>
  <c r="J10" i="4"/>
  <c r="I66" i="4" s="1"/>
  <c r="I72" i="4" s="1"/>
  <c r="K55" i="4"/>
  <c r="J9" i="4"/>
  <c r="K57" i="4"/>
  <c r="J7" i="4"/>
  <c r="I63" i="4" s="1"/>
  <c r="I75" i="4" s="1"/>
  <c r="J13" i="4"/>
  <c r="K56" i="4"/>
  <c r="J8" i="4"/>
  <c r="L62" i="4"/>
  <c r="AW177" i="4"/>
  <c r="AW181" i="4"/>
  <c r="AW174" i="4"/>
  <c r="AW182" i="4"/>
  <c r="AW184" i="4"/>
  <c r="AW183" i="4"/>
  <c r="AW180" i="4"/>
  <c r="L84" i="4"/>
  <c r="AW173" i="4"/>
  <c r="L44" i="4"/>
  <c r="AW178" i="4"/>
  <c r="AW179" i="4"/>
  <c r="AW176" i="4"/>
  <c r="AW175" i="4"/>
  <c r="AW172" i="4"/>
  <c r="AU135" i="4"/>
  <c r="I17" i="4"/>
  <c r="AU143" i="4" s="1"/>
  <c r="I65" i="4"/>
  <c r="I73" i="4" s="1"/>
  <c r="I16" i="4"/>
  <c r="AU142" i="4" s="1"/>
  <c r="AU136" i="4"/>
  <c r="AU138" i="4"/>
  <c r="I14" i="4"/>
  <c r="AU140" i="4" s="1"/>
  <c r="I68" i="4"/>
  <c r="I70" i="4" s="1"/>
  <c r="N20" i="4"/>
  <c r="M58" i="4"/>
  <c r="M6" i="4"/>
  <c r="M76" i="4"/>
  <c r="AU134" i="4"/>
  <c r="I18" i="4"/>
  <c r="AU144" i="4" s="1"/>
  <c r="I64" i="4"/>
  <c r="I74" i="4" s="1"/>
  <c r="AU139" i="4"/>
  <c r="I69" i="4"/>
  <c r="AU137" i="4"/>
  <c r="I15" i="4"/>
  <c r="AU141" i="4" s="1"/>
  <c r="I19" i="4"/>
  <c r="AU145" i="4" s="1"/>
  <c r="AU133" i="4"/>
  <c r="H63" i="4"/>
  <c r="H75" i="4" s="1"/>
  <c r="K106" i="26"/>
  <c r="J106" i="26"/>
  <c r="N106" i="26"/>
  <c r="BD106" i="26"/>
  <c r="C107" i="26"/>
  <c r="BG106" i="26"/>
  <c r="BB62" i="26"/>
  <c r="J62" i="26"/>
  <c r="M62" i="26" s="1"/>
  <c r="BA62" i="26"/>
  <c r="F63" i="26"/>
  <c r="BC62" i="26"/>
  <c r="L45" i="4"/>
  <c r="L48" i="4"/>
  <c r="L47" i="4"/>
  <c r="M86" i="4"/>
  <c r="M91" i="4"/>
  <c r="M90" i="4"/>
  <c r="M85" i="4"/>
  <c r="L51" i="4"/>
  <c r="L50" i="4"/>
  <c r="L46" i="4"/>
  <c r="L49" i="4"/>
  <c r="M88" i="4"/>
  <c r="M87" i="4"/>
  <c r="M89" i="4"/>
  <c r="H107" i="26"/>
  <c r="L53" i="4" l="1"/>
  <c r="K11" i="4"/>
  <c r="J67" i="4" s="1"/>
  <c r="J71" i="4" s="1"/>
  <c r="L56" i="4"/>
  <c r="K8" i="4"/>
  <c r="L52" i="4"/>
  <c r="K12" i="4"/>
  <c r="J68" i="4" s="1"/>
  <c r="J70" i="4" s="1"/>
  <c r="K13" i="4"/>
  <c r="J69" i="4" s="1"/>
  <c r="L55" i="4"/>
  <c r="K9" i="4"/>
  <c r="L54" i="4"/>
  <c r="K10" i="4"/>
  <c r="L57" i="4"/>
  <c r="K7" i="4"/>
  <c r="J63" i="4" s="1"/>
  <c r="J75" i="4" s="1"/>
  <c r="M62" i="4"/>
  <c r="AW187" i="4"/>
  <c r="M44" i="4"/>
  <c r="AW191" i="4"/>
  <c r="AW188" i="4"/>
  <c r="AW195" i="4"/>
  <c r="M84" i="4"/>
  <c r="AW192" i="4"/>
  <c r="AW194" i="4"/>
  <c r="AW185" i="4"/>
  <c r="AW186" i="4"/>
  <c r="AW189" i="4"/>
  <c r="AW190" i="4"/>
  <c r="AW193" i="4"/>
  <c r="AW196" i="4"/>
  <c r="AW197" i="4"/>
  <c r="AU152" i="4"/>
  <c r="J19" i="4"/>
  <c r="AU158" i="4" s="1"/>
  <c r="AU146" i="4"/>
  <c r="AU150" i="4"/>
  <c r="J15" i="4"/>
  <c r="AU154" i="4" s="1"/>
  <c r="N76" i="4"/>
  <c r="N6" i="4"/>
  <c r="N58" i="4"/>
  <c r="O20" i="4"/>
  <c r="J64" i="4"/>
  <c r="J74" i="4" s="1"/>
  <c r="J18" i="4"/>
  <c r="AU157" i="4" s="1"/>
  <c r="AU147" i="4"/>
  <c r="AU148" i="4"/>
  <c r="J65" i="4"/>
  <c r="J73" i="4" s="1"/>
  <c r="J17" i="4"/>
  <c r="AU156" i="4" s="1"/>
  <c r="J16" i="4"/>
  <c r="AU155" i="4" s="1"/>
  <c r="AU149" i="4"/>
  <c r="J66" i="4"/>
  <c r="J72" i="4" s="1"/>
  <c r="J14" i="4"/>
  <c r="AU153" i="4" s="1"/>
  <c r="AU151" i="4"/>
  <c r="J107" i="26"/>
  <c r="K107" i="26"/>
  <c r="N107" i="26"/>
  <c r="BG107" i="26"/>
  <c r="C108" i="26"/>
  <c r="BD107" i="26"/>
  <c r="BA63" i="26"/>
  <c r="BB63" i="26"/>
  <c r="J63" i="26"/>
  <c r="M63" i="26" s="1"/>
  <c r="F64" i="26"/>
  <c r="BC63" i="26"/>
  <c r="M49" i="4"/>
  <c r="M48" i="4"/>
  <c r="M45" i="4"/>
  <c r="M51" i="4"/>
  <c r="N91" i="4"/>
  <c r="N90" i="4"/>
  <c r="N89" i="4"/>
  <c r="H108" i="26"/>
  <c r="M47" i="4"/>
  <c r="M50" i="4"/>
  <c r="M46" i="4"/>
  <c r="N88" i="4"/>
  <c r="N87" i="4"/>
  <c r="N86" i="4"/>
  <c r="N85" i="4"/>
  <c r="M56" i="4" l="1"/>
  <c r="L8" i="4"/>
  <c r="M52" i="4"/>
  <c r="L12" i="4"/>
  <c r="K68" i="4" s="1"/>
  <c r="K70" i="4" s="1"/>
  <c r="M55" i="4"/>
  <c r="L9" i="4"/>
  <c r="L13" i="4"/>
  <c r="AU178" i="4" s="1"/>
  <c r="M57" i="4"/>
  <c r="L7" i="4"/>
  <c r="M54" i="4"/>
  <c r="L10" i="4"/>
  <c r="K66" i="4" s="1"/>
  <c r="K72" i="4" s="1"/>
  <c r="M53" i="4"/>
  <c r="L11" i="4"/>
  <c r="O6" i="4"/>
  <c r="O58" i="4"/>
  <c r="O76" i="4"/>
  <c r="P20" i="4"/>
  <c r="AW201" i="4"/>
  <c r="AW203" i="4"/>
  <c r="AW205" i="4"/>
  <c r="AW208" i="4"/>
  <c r="AW207" i="4"/>
  <c r="AW210" i="4"/>
  <c r="AW209" i="4"/>
  <c r="AW198" i="4"/>
  <c r="AW204" i="4"/>
  <c r="N84" i="4"/>
  <c r="AW200" i="4"/>
  <c r="AW199" i="4"/>
  <c r="AW202" i="4"/>
  <c r="N44" i="4"/>
  <c r="N62" i="4"/>
  <c r="AW206" i="4"/>
  <c r="AU162" i="4"/>
  <c r="K16" i="4"/>
  <c r="AU168" i="4" s="1"/>
  <c r="AU165" i="4"/>
  <c r="K14" i="4"/>
  <c r="AU166" i="4" s="1"/>
  <c r="AU164" i="4"/>
  <c r="AU163" i="4"/>
  <c r="K15" i="4"/>
  <c r="AU167" i="4" s="1"/>
  <c r="AU159" i="4"/>
  <c r="K19" i="4"/>
  <c r="AU171" i="4" s="1"/>
  <c r="K63" i="4"/>
  <c r="K75" i="4" s="1"/>
  <c r="K17" i="4"/>
  <c r="AU169" i="4" s="1"/>
  <c r="AU161" i="4"/>
  <c r="K18" i="4"/>
  <c r="AU170" i="4" s="1"/>
  <c r="K64" i="4"/>
  <c r="K74" i="4" s="1"/>
  <c r="AU160" i="4"/>
  <c r="K108" i="26"/>
  <c r="J108" i="26"/>
  <c r="N108" i="26"/>
  <c r="C109" i="26"/>
  <c r="BG108" i="26"/>
  <c r="BD108" i="26"/>
  <c r="BB64" i="26"/>
  <c r="J64" i="26"/>
  <c r="M64" i="26" s="1"/>
  <c r="BA64" i="26"/>
  <c r="F65" i="26"/>
  <c r="BC64" i="26"/>
  <c r="N45" i="4"/>
  <c r="N47" i="4"/>
  <c r="N50" i="4"/>
  <c r="O88" i="4"/>
  <c r="O85" i="4"/>
  <c r="O86" i="4"/>
  <c r="N46" i="4"/>
  <c r="N48" i="4"/>
  <c r="N49" i="4"/>
  <c r="N51" i="4"/>
  <c r="O89" i="4"/>
  <c r="O91" i="4"/>
  <c r="O90" i="4"/>
  <c r="O87" i="4"/>
  <c r="H109" i="26"/>
  <c r="K69" i="4" l="1"/>
  <c r="M13" i="4"/>
  <c r="N53" i="4"/>
  <c r="M11" i="4"/>
  <c r="N54" i="4"/>
  <c r="M10" i="4"/>
  <c r="N56" i="4"/>
  <c r="M8" i="4"/>
  <c r="N52" i="4"/>
  <c r="M12" i="4"/>
  <c r="N55" i="4"/>
  <c r="M9" i="4"/>
  <c r="N57" i="4"/>
  <c r="M7" i="4"/>
  <c r="P6" i="4"/>
  <c r="P76" i="4"/>
  <c r="Q20" i="4"/>
  <c r="P58" i="4"/>
  <c r="L16" i="4"/>
  <c r="AU181" i="4" s="1"/>
  <c r="AU175" i="4"/>
  <c r="AU177" i="4"/>
  <c r="L14" i="4"/>
  <c r="AU179" i="4" s="1"/>
  <c r="AW214" i="4"/>
  <c r="AW213" i="4"/>
  <c r="O84" i="4"/>
  <c r="AW222" i="4"/>
  <c r="O62" i="4"/>
  <c r="AW219" i="4"/>
  <c r="O44" i="4"/>
  <c r="AW212" i="4"/>
  <c r="AW223" i="4"/>
  <c r="AW221" i="4"/>
  <c r="AW215" i="4"/>
  <c r="AW211" i="4"/>
  <c r="AW217" i="4"/>
  <c r="AW216" i="4"/>
  <c r="AW218" i="4"/>
  <c r="AW220" i="4"/>
  <c r="K67" i="4"/>
  <c r="K71" i="4" s="1"/>
  <c r="L15" i="4"/>
  <c r="AU180" i="4" s="1"/>
  <c r="AU176" i="4"/>
  <c r="L19" i="4"/>
  <c r="AU184" i="4" s="1"/>
  <c r="AU172" i="4"/>
  <c r="K65" i="4"/>
  <c r="K73" i="4" s="1"/>
  <c r="L17" i="4"/>
  <c r="AU182" i="4" s="1"/>
  <c r="AU174" i="4"/>
  <c r="L18" i="4"/>
  <c r="AU183" i="4" s="1"/>
  <c r="AU173" i="4"/>
  <c r="N109" i="26"/>
  <c r="J109" i="26"/>
  <c r="K109" i="26"/>
  <c r="C110" i="26"/>
  <c r="BD109" i="26"/>
  <c r="BG109" i="26"/>
  <c r="BA65" i="26"/>
  <c r="BB65" i="26"/>
  <c r="J65" i="26"/>
  <c r="M65" i="26" s="1"/>
  <c r="F66" i="26"/>
  <c r="BC65" i="26"/>
  <c r="O47" i="4"/>
  <c r="O51" i="4"/>
  <c r="O45" i="4"/>
  <c r="P89" i="4"/>
  <c r="P90" i="4"/>
  <c r="P87" i="4"/>
  <c r="H110" i="26"/>
  <c r="O50" i="4"/>
  <c r="O49" i="4"/>
  <c r="O46" i="4"/>
  <c r="O48" i="4"/>
  <c r="P86" i="4"/>
  <c r="P85" i="4"/>
  <c r="P91" i="4"/>
  <c r="P88" i="4"/>
  <c r="O54" i="4" l="1"/>
  <c r="N10" i="4"/>
  <c r="O56" i="4"/>
  <c r="N8" i="4"/>
  <c r="O53" i="4"/>
  <c r="N11" i="4"/>
  <c r="O52" i="4"/>
  <c r="N12" i="4"/>
  <c r="O57" i="4"/>
  <c r="N7" i="4"/>
  <c r="N13" i="4"/>
  <c r="O55" i="4"/>
  <c r="N9" i="4"/>
  <c r="L65" i="4"/>
  <c r="L73" i="4" s="1"/>
  <c r="M17" i="4"/>
  <c r="AU195" i="4" s="1"/>
  <c r="AU187" i="4"/>
  <c r="L66" i="4"/>
  <c r="L72" i="4" s="1"/>
  <c r="AU188" i="4"/>
  <c r="M16" i="4"/>
  <c r="AU194" i="4" s="1"/>
  <c r="L69" i="4"/>
  <c r="AU191" i="4"/>
  <c r="Q58" i="4"/>
  <c r="Q6" i="4"/>
  <c r="Q76" i="4"/>
  <c r="R20" i="4"/>
  <c r="AW235" i="4"/>
  <c r="AW228" i="4"/>
  <c r="AW226" i="4"/>
  <c r="AW232" i="4"/>
  <c r="AW230" i="4"/>
  <c r="AW236" i="4"/>
  <c r="AW234" i="4"/>
  <c r="AW229" i="4"/>
  <c r="P44" i="4"/>
  <c r="AW225" i="4"/>
  <c r="P62" i="4"/>
  <c r="AW233" i="4"/>
  <c r="P84" i="4"/>
  <c r="AW231" i="4"/>
  <c r="AW227" i="4"/>
  <c r="AW224" i="4"/>
  <c r="L63" i="4"/>
  <c r="L75" i="4" s="1"/>
  <c r="AU185" i="4"/>
  <c r="M19" i="4"/>
  <c r="AU197" i="4" s="1"/>
  <c r="L68" i="4"/>
  <c r="L70" i="4" s="1"/>
  <c r="M14" i="4"/>
  <c r="AU192" i="4" s="1"/>
  <c r="AU190" i="4"/>
  <c r="L64" i="4"/>
  <c r="L74" i="4" s="1"/>
  <c r="AU186" i="4"/>
  <c r="M18" i="4"/>
  <c r="AU196" i="4" s="1"/>
  <c r="L67" i="4"/>
  <c r="L71" i="4" s="1"/>
  <c r="AU189" i="4"/>
  <c r="M15" i="4"/>
  <c r="AU193" i="4" s="1"/>
  <c r="N110" i="26"/>
  <c r="J110" i="26"/>
  <c r="K110" i="26"/>
  <c r="C111" i="26"/>
  <c r="BD110" i="26"/>
  <c r="BG110" i="26"/>
  <c r="BB66" i="26"/>
  <c r="J66" i="26"/>
  <c r="M66" i="26" s="1"/>
  <c r="BA66" i="26"/>
  <c r="BC66" i="26"/>
  <c r="F67" i="26"/>
  <c r="P48" i="4"/>
  <c r="P45" i="4"/>
  <c r="P47" i="4"/>
  <c r="P49" i="4"/>
  <c r="Q91" i="4"/>
  <c r="Q90" i="4"/>
  <c r="Q89" i="4"/>
  <c r="H111" i="26"/>
  <c r="P51" i="4"/>
  <c r="P46" i="4"/>
  <c r="P50" i="4"/>
  <c r="Q88" i="4"/>
  <c r="Q87" i="4"/>
  <c r="Q86" i="4"/>
  <c r="Q85" i="4"/>
  <c r="P52" i="4" l="1"/>
  <c r="O12" i="4"/>
  <c r="P56" i="4"/>
  <c r="O8" i="4"/>
  <c r="O13" i="4"/>
  <c r="P53" i="4"/>
  <c r="O11" i="4"/>
  <c r="P55" i="4"/>
  <c r="O9" i="4"/>
  <c r="P57" i="4"/>
  <c r="O7" i="4"/>
  <c r="P54" i="4"/>
  <c r="O10" i="4"/>
  <c r="R58" i="4"/>
  <c r="R6" i="4"/>
  <c r="R76" i="4"/>
  <c r="S20" i="4"/>
  <c r="Q44" i="4"/>
  <c r="AW240" i="4"/>
  <c r="Q62" i="4"/>
  <c r="AW243" i="4"/>
  <c r="AW242" i="4"/>
  <c r="AW248" i="4"/>
  <c r="Q84" i="4"/>
  <c r="AW238" i="4"/>
  <c r="AW237" i="4"/>
  <c r="AW249" i="4"/>
  <c r="AW246" i="4"/>
  <c r="AW241" i="4"/>
  <c r="AW244" i="4"/>
  <c r="AW247" i="4"/>
  <c r="AW245" i="4"/>
  <c r="AW239" i="4"/>
  <c r="M69" i="4"/>
  <c r="AU204" i="4"/>
  <c r="M63" i="4"/>
  <c r="M75" i="4" s="1"/>
  <c r="N19" i="4"/>
  <c r="AU210" i="4" s="1"/>
  <c r="AU198" i="4"/>
  <c r="N63" i="4"/>
  <c r="N75" i="4" s="1"/>
  <c r="M68" i="4"/>
  <c r="M70" i="4" s="1"/>
  <c r="N14" i="4"/>
  <c r="AU205" i="4" s="1"/>
  <c r="AU203" i="4"/>
  <c r="M64" i="4"/>
  <c r="M74" i="4" s="1"/>
  <c r="N18" i="4"/>
  <c r="AU209" i="4" s="1"/>
  <c r="AU199" i="4"/>
  <c r="M65" i="4"/>
  <c r="M73" i="4" s="1"/>
  <c r="N17" i="4"/>
  <c r="AU208" i="4" s="1"/>
  <c r="AU200" i="4"/>
  <c r="M67" i="4"/>
  <c r="M71" i="4" s="1"/>
  <c r="N15" i="4"/>
  <c r="AU206" i="4" s="1"/>
  <c r="AU202" i="4"/>
  <c r="M66" i="4"/>
  <c r="M72" i="4" s="1"/>
  <c r="N16" i="4"/>
  <c r="AU207" i="4" s="1"/>
  <c r="AU201" i="4"/>
  <c r="J111" i="26"/>
  <c r="K111" i="26"/>
  <c r="N111" i="26"/>
  <c r="C112" i="26"/>
  <c r="BD111" i="26"/>
  <c r="BG111" i="26"/>
  <c r="BA67" i="26"/>
  <c r="BB67" i="26"/>
  <c r="J67" i="26"/>
  <c r="M67" i="26" s="1"/>
  <c r="F68" i="26"/>
  <c r="BC67" i="26"/>
  <c r="Q45" i="4"/>
  <c r="Q47" i="4"/>
  <c r="Q49" i="4"/>
  <c r="Q51" i="4"/>
  <c r="R86" i="4"/>
  <c r="R85" i="4"/>
  <c r="R91" i="4"/>
  <c r="H112" i="26"/>
  <c r="Q46" i="4"/>
  <c r="Q48" i="4"/>
  <c r="Q50" i="4"/>
  <c r="R90" i="4"/>
  <c r="R89" i="4"/>
  <c r="R88" i="4"/>
  <c r="R87" i="4"/>
  <c r="Q52" i="4" l="1"/>
  <c r="P12" i="4"/>
  <c r="Q54" i="4"/>
  <c r="P10" i="4"/>
  <c r="Q56" i="4"/>
  <c r="P8" i="4"/>
  <c r="P13" i="4"/>
  <c r="Q53" i="4"/>
  <c r="P11" i="4"/>
  <c r="Q55" i="4"/>
  <c r="P9" i="4"/>
  <c r="Q57" i="4"/>
  <c r="P7" i="4"/>
  <c r="S58" i="4"/>
  <c r="T20" i="4"/>
  <c r="S76" i="4"/>
  <c r="S6" i="4"/>
  <c r="AW258" i="4"/>
  <c r="AW251" i="4"/>
  <c r="AW260" i="4"/>
  <c r="AW259" i="4"/>
  <c r="AW255" i="4"/>
  <c r="AW253" i="4"/>
  <c r="AW256" i="4"/>
  <c r="AW261" i="4"/>
  <c r="R44" i="4"/>
  <c r="AW257" i="4"/>
  <c r="R62" i="4"/>
  <c r="AW252" i="4"/>
  <c r="R84" i="4"/>
  <c r="AW250" i="4"/>
  <c r="AW254" i="4"/>
  <c r="AW262" i="4"/>
  <c r="AU211" i="4"/>
  <c r="O19" i="4"/>
  <c r="AU223" i="4" s="1"/>
  <c r="N67" i="4"/>
  <c r="N71" i="4" s="1"/>
  <c r="AU215" i="4"/>
  <c r="O15" i="4"/>
  <c r="AU219" i="4" s="1"/>
  <c r="N69" i="4"/>
  <c r="AU217" i="4"/>
  <c r="N64" i="4"/>
  <c r="N74" i="4" s="1"/>
  <c r="O18" i="4"/>
  <c r="AU222" i="4" s="1"/>
  <c r="AU212" i="4"/>
  <c r="O64" i="4"/>
  <c r="O74" i="4" s="1"/>
  <c r="N66" i="4"/>
  <c r="N72" i="4" s="1"/>
  <c r="AU214" i="4"/>
  <c r="O16" i="4"/>
  <c r="AU220" i="4" s="1"/>
  <c r="N65" i="4"/>
  <c r="N73" i="4" s="1"/>
  <c r="AU213" i="4"/>
  <c r="O17" i="4"/>
  <c r="AU221" i="4" s="1"/>
  <c r="N68" i="4"/>
  <c r="N70" i="4" s="1"/>
  <c r="AU216" i="4"/>
  <c r="O14" i="4"/>
  <c r="AU218" i="4" s="1"/>
  <c r="O68" i="4"/>
  <c r="O70" i="4" s="1"/>
  <c r="N112" i="26"/>
  <c r="J112" i="26"/>
  <c r="K112" i="26"/>
  <c r="C113" i="26"/>
  <c r="BD112" i="26"/>
  <c r="BG112" i="26"/>
  <c r="BB68" i="26"/>
  <c r="J68" i="26"/>
  <c r="M68" i="26" s="1"/>
  <c r="BA68" i="26"/>
  <c r="BC68" i="26"/>
  <c r="F69" i="26"/>
  <c r="R47" i="4"/>
  <c r="R49" i="4"/>
  <c r="R45" i="4"/>
  <c r="S86" i="4"/>
  <c r="S88" i="4"/>
  <c r="R48" i="4"/>
  <c r="R50" i="4"/>
  <c r="R51" i="4"/>
  <c r="R46" i="4"/>
  <c r="S90" i="4"/>
  <c r="S89" i="4"/>
  <c r="S91" i="4"/>
  <c r="S85" i="4"/>
  <c r="H113" i="26"/>
  <c r="S87" i="4"/>
  <c r="R56" i="4" l="1"/>
  <c r="Q8" i="4"/>
  <c r="P64" i="4" s="1"/>
  <c r="P74" i="4" s="1"/>
  <c r="Q13" i="4"/>
  <c r="R52" i="4"/>
  <c r="Q12" i="4"/>
  <c r="R54" i="4"/>
  <c r="Q10" i="4"/>
  <c r="R57" i="4"/>
  <c r="Q7" i="4"/>
  <c r="R53" i="4"/>
  <c r="Q11" i="4"/>
  <c r="R55" i="4"/>
  <c r="Q9" i="4"/>
  <c r="AW271" i="4"/>
  <c r="AW266" i="4"/>
  <c r="AW273" i="4"/>
  <c r="AW275" i="4"/>
  <c r="AW274" i="4"/>
  <c r="S84" i="4"/>
  <c r="AW265" i="4"/>
  <c r="AW264" i="4"/>
  <c r="S44" i="4"/>
  <c r="AW269" i="4"/>
  <c r="S62" i="4"/>
  <c r="AW272" i="4"/>
  <c r="AW270" i="4"/>
  <c r="AW263" i="4"/>
  <c r="AW268" i="4"/>
  <c r="AW267" i="4"/>
  <c r="U20" i="4"/>
  <c r="T58" i="4"/>
  <c r="T6" i="4"/>
  <c r="T76" i="4"/>
  <c r="O65" i="4"/>
  <c r="O73" i="4" s="1"/>
  <c r="P17" i="4"/>
  <c r="AU234" i="4" s="1"/>
  <c r="AU226" i="4"/>
  <c r="O69" i="4"/>
  <c r="AU230" i="4"/>
  <c r="P69" i="4"/>
  <c r="O66" i="4"/>
  <c r="O72" i="4" s="1"/>
  <c r="AU227" i="4"/>
  <c r="P16" i="4"/>
  <c r="AU233" i="4" s="1"/>
  <c r="O63" i="4"/>
  <c r="O75" i="4" s="1"/>
  <c r="AU224" i="4"/>
  <c r="P19" i="4"/>
  <c r="AU236" i="4" s="1"/>
  <c r="O67" i="4"/>
  <c r="O71" i="4" s="1"/>
  <c r="P15" i="4"/>
  <c r="AU232" i="4" s="1"/>
  <c r="AU228" i="4"/>
  <c r="AU225" i="4"/>
  <c r="P18" i="4"/>
  <c r="AU235" i="4" s="1"/>
  <c r="AU229" i="4"/>
  <c r="P14" i="4"/>
  <c r="AU231" i="4" s="1"/>
  <c r="P68" i="4"/>
  <c r="P70" i="4" s="1"/>
  <c r="J113" i="26"/>
  <c r="K113" i="26"/>
  <c r="N113" i="26"/>
  <c r="C114" i="26"/>
  <c r="BD113" i="26"/>
  <c r="BG113" i="26"/>
  <c r="BA69" i="26"/>
  <c r="BB69" i="26"/>
  <c r="J69" i="26"/>
  <c r="M69" i="26" s="1"/>
  <c r="F70" i="26"/>
  <c r="BC69" i="26"/>
  <c r="S47" i="4"/>
  <c r="S51" i="4"/>
  <c r="S50" i="4"/>
  <c r="S48" i="4"/>
  <c r="T86" i="4"/>
  <c r="T85" i="4"/>
  <c r="T91" i="4"/>
  <c r="H114" i="26"/>
  <c r="S45" i="4"/>
  <c r="S49" i="4"/>
  <c r="S46" i="4"/>
  <c r="T90" i="4"/>
  <c r="T89" i="4"/>
  <c r="T88" i="4"/>
  <c r="T87" i="4"/>
  <c r="S56" i="4" l="1"/>
  <c r="R8" i="4"/>
  <c r="S53" i="4"/>
  <c r="R11" i="4"/>
  <c r="S57" i="4"/>
  <c r="R7" i="4"/>
  <c r="S54" i="4"/>
  <c r="R10" i="4"/>
  <c r="S52" i="4"/>
  <c r="R12" i="4"/>
  <c r="Q68" i="4" s="1"/>
  <c r="Q70" i="4" s="1"/>
  <c r="R13" i="4"/>
  <c r="S55" i="4"/>
  <c r="R9" i="4"/>
  <c r="P67" i="4"/>
  <c r="P71" i="4" s="1"/>
  <c r="Q15" i="4"/>
  <c r="AU245" i="4" s="1"/>
  <c r="AU241" i="4"/>
  <c r="P66" i="4"/>
  <c r="P72" i="4" s="1"/>
  <c r="Q16" i="4"/>
  <c r="AU246" i="4" s="1"/>
  <c r="AU240" i="4"/>
  <c r="AU243" i="4"/>
  <c r="Q69" i="4"/>
  <c r="AU238" i="4"/>
  <c r="Q18" i="4"/>
  <c r="AU248" i="4" s="1"/>
  <c r="AW280" i="4"/>
  <c r="AW283" i="4"/>
  <c r="AW276" i="4"/>
  <c r="AW281" i="4"/>
  <c r="AW288" i="4"/>
  <c r="AW277" i="4"/>
  <c r="AW284" i="4"/>
  <c r="AW285" i="4"/>
  <c r="T84" i="4"/>
  <c r="AW279" i="4"/>
  <c r="AW278" i="4"/>
  <c r="AW287" i="4"/>
  <c r="T44" i="4"/>
  <c r="AW282" i="4"/>
  <c r="T62" i="4"/>
  <c r="AW286" i="4"/>
  <c r="U6" i="4"/>
  <c r="U58" i="4"/>
  <c r="V20" i="4"/>
  <c r="U76" i="4"/>
  <c r="P65" i="4"/>
  <c r="P73" i="4" s="1"/>
  <c r="AU239" i="4"/>
  <c r="Q17" i="4"/>
  <c r="AU247" i="4" s="1"/>
  <c r="Q65" i="4"/>
  <c r="Q73" i="4" s="1"/>
  <c r="P63" i="4"/>
  <c r="P75" i="4" s="1"/>
  <c r="Q19" i="4"/>
  <c r="AU249" i="4" s="1"/>
  <c r="AU237" i="4"/>
  <c r="Q14" i="4"/>
  <c r="AU244" i="4" s="1"/>
  <c r="AU242" i="4"/>
  <c r="N114" i="26"/>
  <c r="J114" i="26"/>
  <c r="K114" i="26"/>
  <c r="C115" i="26"/>
  <c r="BD114" i="26"/>
  <c r="BG114" i="26"/>
  <c r="BB70" i="26"/>
  <c r="J70" i="26"/>
  <c r="M70" i="26" s="1"/>
  <c r="BA70" i="26"/>
  <c r="BC70" i="26"/>
  <c r="F71" i="26"/>
  <c r="T47" i="4"/>
  <c r="T49" i="4"/>
  <c r="T45" i="4"/>
  <c r="U86" i="4"/>
  <c r="U85" i="4"/>
  <c r="U91" i="4"/>
  <c r="H115" i="26"/>
  <c r="T48" i="4"/>
  <c r="T50" i="4"/>
  <c r="T51" i="4"/>
  <c r="T46" i="4"/>
  <c r="U90" i="4"/>
  <c r="U89" i="4"/>
  <c r="U88" i="4"/>
  <c r="U87" i="4"/>
  <c r="T56" i="4" l="1"/>
  <c r="S8" i="4"/>
  <c r="S13" i="4"/>
  <c r="AU269" i="4" s="1"/>
  <c r="T52" i="4"/>
  <c r="S12" i="4"/>
  <c r="R68" i="4" s="1"/>
  <c r="R70" i="4" s="1"/>
  <c r="T54" i="4"/>
  <c r="S10" i="4"/>
  <c r="T57" i="4"/>
  <c r="S7" i="4"/>
  <c r="T53" i="4"/>
  <c r="S11" i="4"/>
  <c r="T55" i="4"/>
  <c r="S9" i="4"/>
  <c r="AU256" i="4"/>
  <c r="R69" i="4"/>
  <c r="AU255" i="4"/>
  <c r="R14" i="4"/>
  <c r="AU257" i="4" s="1"/>
  <c r="Q67" i="4"/>
  <c r="Q71" i="4" s="1"/>
  <c r="R15" i="4"/>
  <c r="AU258" i="4" s="1"/>
  <c r="AU254" i="4"/>
  <c r="V76" i="4"/>
  <c r="W20" i="4"/>
  <c r="V58" i="4"/>
  <c r="V6" i="4"/>
  <c r="AW294" i="4"/>
  <c r="AW301" i="4"/>
  <c r="AW295" i="4"/>
  <c r="AW298" i="4"/>
  <c r="AW293" i="4"/>
  <c r="AW299" i="4"/>
  <c r="AW300" i="4"/>
  <c r="AW291" i="4"/>
  <c r="AW292" i="4"/>
  <c r="AW297" i="4"/>
  <c r="U84" i="4"/>
  <c r="AW289" i="4"/>
  <c r="U62" i="4"/>
  <c r="AW290" i="4"/>
  <c r="U44" i="4"/>
  <c r="AW296" i="4"/>
  <c r="R17" i="4"/>
  <c r="AU260" i="4" s="1"/>
  <c r="AU252" i="4"/>
  <c r="Q66" i="4"/>
  <c r="Q72" i="4" s="1"/>
  <c r="R16" i="4"/>
  <c r="AU259" i="4" s="1"/>
  <c r="AU253" i="4"/>
  <c r="Q63" i="4"/>
  <c r="Q75" i="4" s="1"/>
  <c r="R19" i="4"/>
  <c r="AU262" i="4" s="1"/>
  <c r="AU250" i="4"/>
  <c r="Q64" i="4"/>
  <c r="Q74" i="4" s="1"/>
  <c r="AU251" i="4"/>
  <c r="R18" i="4"/>
  <c r="AU261" i="4" s="1"/>
  <c r="J115" i="26"/>
  <c r="K115" i="26"/>
  <c r="N115" i="26"/>
  <c r="BD115" i="26"/>
  <c r="BG115" i="26"/>
  <c r="BA71" i="26"/>
  <c r="BB71" i="26"/>
  <c r="J71" i="26"/>
  <c r="M71" i="26" s="1"/>
  <c r="F72" i="26"/>
  <c r="BC71" i="26"/>
  <c r="U47" i="4"/>
  <c r="U49" i="4"/>
  <c r="U45" i="4"/>
  <c r="V85" i="4"/>
  <c r="V91" i="4"/>
  <c r="V90" i="4"/>
  <c r="U48" i="4"/>
  <c r="U50" i="4"/>
  <c r="U51" i="4"/>
  <c r="U46" i="4"/>
  <c r="V89" i="4"/>
  <c r="V88" i="4"/>
  <c r="V87" i="4"/>
  <c r="V86" i="4"/>
  <c r="U56" i="4" l="1"/>
  <c r="T8" i="4"/>
  <c r="S64" i="4" s="1"/>
  <c r="S74" i="4" s="1"/>
  <c r="T13" i="4"/>
  <c r="U52" i="4"/>
  <c r="T12" i="4"/>
  <c r="U54" i="4"/>
  <c r="T10" i="4"/>
  <c r="U57" i="4"/>
  <c r="T7" i="4"/>
  <c r="U53" i="4"/>
  <c r="T11" i="4"/>
  <c r="U55" i="4"/>
  <c r="T9" i="4"/>
  <c r="V62" i="4"/>
  <c r="AW304" i="4"/>
  <c r="V44" i="4"/>
  <c r="AW312" i="4"/>
  <c r="V84" i="4"/>
  <c r="AW314" i="4"/>
  <c r="AW310" i="4"/>
  <c r="AW307" i="4"/>
  <c r="AW308" i="4"/>
  <c r="AW305" i="4"/>
  <c r="AW303" i="4"/>
  <c r="AW313" i="4"/>
  <c r="AW309" i="4"/>
  <c r="AW306" i="4"/>
  <c r="AW302" i="4"/>
  <c r="AW311" i="4"/>
  <c r="W76" i="4"/>
  <c r="X20" i="4"/>
  <c r="W58" i="4"/>
  <c r="W6" i="4"/>
  <c r="R67" i="4"/>
  <c r="R71" i="4" s="1"/>
  <c r="AU267" i="4"/>
  <c r="S15" i="4"/>
  <c r="AU271" i="4" s="1"/>
  <c r="S14" i="4"/>
  <c r="AU270" i="4" s="1"/>
  <c r="AU268" i="4"/>
  <c r="R65" i="4"/>
  <c r="R73" i="4" s="1"/>
  <c r="AU265" i="4"/>
  <c r="S17" i="4"/>
  <c r="AU273" i="4" s="1"/>
  <c r="R63" i="4"/>
  <c r="R75" i="4" s="1"/>
  <c r="AU263" i="4"/>
  <c r="S19" i="4"/>
  <c r="AU275" i="4" s="1"/>
  <c r="R66" i="4"/>
  <c r="R72" i="4" s="1"/>
  <c r="AU266" i="4"/>
  <c r="S16" i="4"/>
  <c r="AU272" i="4" s="1"/>
  <c r="R64" i="4"/>
  <c r="R74" i="4" s="1"/>
  <c r="AU264" i="4"/>
  <c r="S18" i="4"/>
  <c r="AU274" i="4" s="1"/>
  <c r="BB72" i="26"/>
  <c r="J72" i="26"/>
  <c r="M72" i="26" s="1"/>
  <c r="BA72" i="26"/>
  <c r="BC72" i="26"/>
  <c r="F73" i="26"/>
  <c r="V46" i="4"/>
  <c r="V48" i="4"/>
  <c r="V51" i="4"/>
  <c r="W85" i="4"/>
  <c r="W91" i="4"/>
  <c r="W90" i="4"/>
  <c r="V47" i="4"/>
  <c r="V49" i="4"/>
  <c r="V50" i="4"/>
  <c r="V45" i="4"/>
  <c r="W89" i="4"/>
  <c r="W88" i="4"/>
  <c r="W87" i="4"/>
  <c r="W86" i="4"/>
  <c r="V57" i="4" l="1"/>
  <c r="U7" i="4"/>
  <c r="V52" i="4"/>
  <c r="U12" i="4"/>
  <c r="V53" i="4"/>
  <c r="U11" i="4"/>
  <c r="T67" i="4" s="1"/>
  <c r="T71" i="4" s="1"/>
  <c r="V55" i="4"/>
  <c r="U9" i="4"/>
  <c r="U13" i="4"/>
  <c r="V54" i="4"/>
  <c r="U10" i="4"/>
  <c r="V56" i="4"/>
  <c r="U8" i="4"/>
  <c r="AW327" i="4"/>
  <c r="AW319" i="4"/>
  <c r="AW325" i="4"/>
  <c r="AW322" i="4"/>
  <c r="AW323" i="4"/>
  <c r="AW320" i="4"/>
  <c r="AW315" i="4"/>
  <c r="AW318" i="4"/>
  <c r="AW326" i="4"/>
  <c r="AW321" i="4"/>
  <c r="AW316" i="4"/>
  <c r="AW324" i="4"/>
  <c r="W84" i="4"/>
  <c r="W44" i="4"/>
  <c r="W62" i="4"/>
  <c r="AW317" i="4"/>
  <c r="X58" i="4"/>
  <c r="X76" i="4"/>
  <c r="X6" i="4"/>
  <c r="Y20" i="4"/>
  <c r="S67" i="4"/>
  <c r="S71" i="4" s="1"/>
  <c r="AU280" i="4"/>
  <c r="T15" i="4"/>
  <c r="AU284" i="4" s="1"/>
  <c r="S68" i="4"/>
  <c r="S70" i="4" s="1"/>
  <c r="AU281" i="4"/>
  <c r="T14" i="4"/>
  <c r="AU283" i="4" s="1"/>
  <c r="S65" i="4"/>
  <c r="S73" i="4" s="1"/>
  <c r="T17" i="4"/>
  <c r="AU286" i="4" s="1"/>
  <c r="AU278" i="4"/>
  <c r="S63" i="4"/>
  <c r="S75" i="4" s="1"/>
  <c r="T19" i="4"/>
  <c r="AU288" i="4" s="1"/>
  <c r="AU276" i="4"/>
  <c r="S66" i="4"/>
  <c r="S72" i="4" s="1"/>
  <c r="T16" i="4"/>
  <c r="AU285" i="4" s="1"/>
  <c r="AU279" i="4"/>
  <c r="T66" i="4"/>
  <c r="T72" i="4" s="1"/>
  <c r="S69" i="4"/>
  <c r="AU282" i="4"/>
  <c r="AU277" i="4"/>
  <c r="T18" i="4"/>
  <c r="AU287" i="4" s="1"/>
  <c r="BA73" i="26"/>
  <c r="BB73" i="26"/>
  <c r="J73" i="26"/>
  <c r="M73" i="26" s="1"/>
  <c r="BC73" i="26"/>
  <c r="F74" i="26"/>
  <c r="W46" i="4"/>
  <c r="W48" i="4"/>
  <c r="W50" i="4"/>
  <c r="W45" i="4"/>
  <c r="X90" i="4"/>
  <c r="X89" i="4"/>
  <c r="X88" i="4"/>
  <c r="W47" i="4"/>
  <c r="W49" i="4"/>
  <c r="W51" i="4"/>
  <c r="X91" i="4"/>
  <c r="X86" i="4"/>
  <c r="X85" i="4"/>
  <c r="X87" i="4"/>
  <c r="V13" i="4" l="1"/>
  <c r="W53" i="4"/>
  <c r="V11" i="4"/>
  <c r="W55" i="4"/>
  <c r="V9" i="4"/>
  <c r="W57" i="4"/>
  <c r="V7" i="4"/>
  <c r="W52" i="4"/>
  <c r="V12" i="4"/>
  <c r="W54" i="4"/>
  <c r="V10" i="4"/>
  <c r="U66" i="4" s="1"/>
  <c r="U72" i="4" s="1"/>
  <c r="W56" i="4"/>
  <c r="V8" i="4"/>
  <c r="Z20" i="4"/>
  <c r="Y76" i="4"/>
  <c r="Y58" i="4"/>
  <c r="Y6" i="4"/>
  <c r="AU292" i="4"/>
  <c r="U16" i="4"/>
  <c r="AU298" i="4" s="1"/>
  <c r="T65" i="4"/>
  <c r="T73" i="4" s="1"/>
  <c r="AU291" i="4"/>
  <c r="U17" i="4"/>
  <c r="AU299" i="4" s="1"/>
  <c r="T68" i="4"/>
  <c r="T70" i="4" s="1"/>
  <c r="U14" i="4"/>
  <c r="AU296" i="4" s="1"/>
  <c r="AU294" i="4"/>
  <c r="AW328" i="4"/>
  <c r="AW337" i="4"/>
  <c r="AW333" i="4"/>
  <c r="AW332" i="4"/>
  <c r="AW335" i="4"/>
  <c r="AW336" i="4"/>
  <c r="AW329" i="4"/>
  <c r="AW340" i="4"/>
  <c r="AW330" i="4"/>
  <c r="X44" i="4"/>
  <c r="AW334" i="4"/>
  <c r="X84" i="4"/>
  <c r="X62" i="4"/>
  <c r="AW338" i="4"/>
  <c r="AW339" i="4"/>
  <c r="AW331" i="4"/>
  <c r="T64" i="4"/>
  <c r="T74" i="4" s="1"/>
  <c r="U18" i="4"/>
  <c r="AU300" i="4" s="1"/>
  <c r="AU290" i="4"/>
  <c r="T69" i="4"/>
  <c r="AU295" i="4"/>
  <c r="AU293" i="4"/>
  <c r="U15" i="4"/>
  <c r="AU297" i="4" s="1"/>
  <c r="T63" i="4"/>
  <c r="T75" i="4" s="1"/>
  <c r="U19" i="4"/>
  <c r="AU301" i="4" s="1"/>
  <c r="AU289" i="4"/>
  <c r="BB74" i="26"/>
  <c r="J74" i="26"/>
  <c r="M74" i="26" s="1"/>
  <c r="BA74" i="26"/>
  <c r="F75" i="26"/>
  <c r="BC74" i="26"/>
  <c r="X47" i="4"/>
  <c r="X46" i="4"/>
  <c r="X48" i="4"/>
  <c r="X50" i="4"/>
  <c r="Y85" i="4"/>
  <c r="Y91" i="4"/>
  <c r="Y90" i="4"/>
  <c r="X45" i="4"/>
  <c r="X51" i="4"/>
  <c r="X49" i="4"/>
  <c r="Y86" i="4"/>
  <c r="Y88" i="4"/>
  <c r="Y87" i="4"/>
  <c r="Y89" i="4"/>
  <c r="X53" i="4" l="1"/>
  <c r="W11" i="4"/>
  <c r="W13" i="4"/>
  <c r="V69" i="4" s="1"/>
  <c r="X57" i="4"/>
  <c r="W7" i="4"/>
  <c r="X52" i="4"/>
  <c r="W12" i="4"/>
  <c r="X54" i="4"/>
  <c r="W10" i="4"/>
  <c r="X56" i="4"/>
  <c r="W8" i="4"/>
  <c r="X55" i="4"/>
  <c r="W9" i="4"/>
  <c r="AW349" i="4"/>
  <c r="AW345" i="4"/>
  <c r="AW347" i="4"/>
  <c r="AW342" i="4"/>
  <c r="AW346" i="4"/>
  <c r="AW352" i="4"/>
  <c r="AW343" i="4"/>
  <c r="AW351" i="4"/>
  <c r="Y62" i="4"/>
  <c r="AW350" i="4"/>
  <c r="AW348" i="4"/>
  <c r="Y44" i="4"/>
  <c r="Y84" i="4"/>
  <c r="AW353" i="4"/>
  <c r="AW344" i="4"/>
  <c r="AW341" i="4"/>
  <c r="AU305" i="4"/>
  <c r="V16" i="4"/>
  <c r="AU311" i="4" s="1"/>
  <c r="U63" i="4"/>
  <c r="U75" i="4" s="1"/>
  <c r="V19" i="4"/>
  <c r="AU314" i="4" s="1"/>
  <c r="AU302" i="4"/>
  <c r="U65" i="4"/>
  <c r="U73" i="4" s="1"/>
  <c r="AU304" i="4"/>
  <c r="V17" i="4"/>
  <c r="AU312" i="4" s="1"/>
  <c r="U69" i="4"/>
  <c r="AU308" i="4"/>
  <c r="Z58" i="4"/>
  <c r="AA20" i="4"/>
  <c r="Z76" i="4"/>
  <c r="Z6" i="4"/>
  <c r="U64" i="4"/>
  <c r="U74" i="4" s="1"/>
  <c r="AU303" i="4"/>
  <c r="V18" i="4"/>
  <c r="AU313" i="4" s="1"/>
  <c r="U68" i="4"/>
  <c r="U70" i="4" s="1"/>
  <c r="AU307" i="4"/>
  <c r="V14" i="4"/>
  <c r="AU309" i="4" s="1"/>
  <c r="V68" i="4"/>
  <c r="V70" i="4" s="1"/>
  <c r="U67" i="4"/>
  <c r="U71" i="4" s="1"/>
  <c r="V15" i="4"/>
  <c r="AU310" i="4" s="1"/>
  <c r="AU306" i="4"/>
  <c r="BA75" i="26"/>
  <c r="BB75" i="26"/>
  <c r="J75" i="26"/>
  <c r="M75" i="26" s="1"/>
  <c r="F76" i="26"/>
  <c r="BC75" i="26"/>
  <c r="Y49" i="4"/>
  <c r="Y48" i="4"/>
  <c r="Y50" i="4"/>
  <c r="Y45" i="4"/>
  <c r="Z86" i="4"/>
  <c r="Z89" i="4"/>
  <c r="Z87" i="4"/>
  <c r="Z85" i="4"/>
  <c r="Y47" i="4"/>
  <c r="Y46" i="4"/>
  <c r="Y51" i="4"/>
  <c r="Z88" i="4"/>
  <c r="Z90" i="4"/>
  <c r="Z91" i="4"/>
  <c r="X13" i="4" l="1"/>
  <c r="W69" i="4" s="1"/>
  <c r="Y56" i="4"/>
  <c r="X8" i="4"/>
  <c r="Y55" i="4"/>
  <c r="X9" i="4"/>
  <c r="Y57" i="4"/>
  <c r="X7" i="4"/>
  <c r="Y52" i="4"/>
  <c r="X12" i="4"/>
  <c r="Y54" i="4"/>
  <c r="X10" i="4"/>
  <c r="Y53" i="4"/>
  <c r="X11" i="4"/>
  <c r="V64" i="4"/>
  <c r="V74" i="4" s="1"/>
  <c r="AU316" i="4"/>
  <c r="W18" i="4"/>
  <c r="AU326" i="4" s="1"/>
  <c r="W14" i="4"/>
  <c r="AU322" i="4" s="1"/>
  <c r="AU320" i="4"/>
  <c r="V63" i="4"/>
  <c r="V75" i="4" s="1"/>
  <c r="W19" i="4"/>
  <c r="AU327" i="4" s="1"/>
  <c r="AU315" i="4"/>
  <c r="AW365" i="4"/>
  <c r="AW366" i="4"/>
  <c r="AW356" i="4"/>
  <c r="AW361" i="4"/>
  <c r="AW362" i="4"/>
  <c r="AW359" i="4"/>
  <c r="AW355" i="4"/>
  <c r="AW358" i="4"/>
  <c r="Z84" i="4"/>
  <c r="AW357" i="4"/>
  <c r="AW354" i="4"/>
  <c r="AW363" i="4"/>
  <c r="Z62" i="4"/>
  <c r="AW360" i="4"/>
  <c r="Z44" i="4"/>
  <c r="AW364" i="4"/>
  <c r="AA76" i="4"/>
  <c r="AB20" i="4"/>
  <c r="AA58" i="4"/>
  <c r="AA6" i="4"/>
  <c r="V65" i="4"/>
  <c r="V73" i="4" s="1"/>
  <c r="W17" i="4"/>
  <c r="AU325" i="4" s="1"/>
  <c r="AU317" i="4"/>
  <c r="W65" i="4"/>
  <c r="W73" i="4" s="1"/>
  <c r="V66" i="4"/>
  <c r="V72" i="4" s="1"/>
  <c r="W16" i="4"/>
  <c r="AU324" i="4" s="1"/>
  <c r="AU318" i="4"/>
  <c r="AU321" i="4"/>
  <c r="V67" i="4"/>
  <c r="V71" i="4" s="1"/>
  <c r="AU319" i="4"/>
  <c r="W15" i="4"/>
  <c r="AU323" i="4" s="1"/>
  <c r="BB76" i="26"/>
  <c r="J76" i="26"/>
  <c r="M76" i="26" s="1"/>
  <c r="BA76" i="26"/>
  <c r="BC76" i="26"/>
  <c r="F77" i="26"/>
  <c r="Z51" i="4"/>
  <c r="Z48" i="4"/>
  <c r="Z47" i="4"/>
  <c r="Z46" i="4"/>
  <c r="AA86" i="4"/>
  <c r="AA85" i="4"/>
  <c r="AA91" i="4"/>
  <c r="AE31" i="4"/>
  <c r="Z50" i="4"/>
  <c r="Z45" i="4"/>
  <c r="Z49" i="4"/>
  <c r="AA90" i="4"/>
  <c r="AA89" i="4"/>
  <c r="AA88" i="4"/>
  <c r="AA87" i="4"/>
  <c r="AE30" i="4"/>
  <c r="AE29" i="4"/>
  <c r="Z53" i="4" l="1"/>
  <c r="Y11" i="4"/>
  <c r="Z57" i="4"/>
  <c r="Y7" i="4"/>
  <c r="Z52" i="4"/>
  <c r="Y12" i="4"/>
  <c r="Z56" i="4"/>
  <c r="Y8" i="4"/>
  <c r="Z55" i="4"/>
  <c r="Y9" i="4"/>
  <c r="Z54" i="4"/>
  <c r="Y10" i="4"/>
  <c r="Y13" i="4"/>
  <c r="AW367" i="4"/>
  <c r="AW372" i="4"/>
  <c r="AW376" i="4"/>
  <c r="AW371" i="4"/>
  <c r="AW370" i="4"/>
  <c r="AW375" i="4"/>
  <c r="AW377" i="4"/>
  <c r="AW369" i="4"/>
  <c r="AA44" i="4"/>
  <c r="AW378" i="4"/>
  <c r="AA62" i="4"/>
  <c r="AW374" i="4"/>
  <c r="AW368" i="4"/>
  <c r="AW379" i="4"/>
  <c r="AA84" i="4"/>
  <c r="AW373" i="4"/>
  <c r="AB76" i="4"/>
  <c r="AB6" i="4"/>
  <c r="AB58" i="4"/>
  <c r="AC20" i="4"/>
  <c r="W66" i="4"/>
  <c r="W72" i="4" s="1"/>
  <c r="X16" i="4"/>
  <c r="AU337" i="4" s="1"/>
  <c r="AU331" i="4"/>
  <c r="W63" i="4"/>
  <c r="W75" i="4" s="1"/>
  <c r="X19" i="4"/>
  <c r="AU340" i="4" s="1"/>
  <c r="AU328" i="4"/>
  <c r="W64" i="4"/>
  <c r="W74" i="4" s="1"/>
  <c r="AU329" i="4"/>
  <c r="X18" i="4"/>
  <c r="AU339" i="4" s="1"/>
  <c r="W67" i="4"/>
  <c r="W71" i="4" s="1"/>
  <c r="X15" i="4"/>
  <c r="AU336" i="4" s="1"/>
  <c r="AU332" i="4"/>
  <c r="W68" i="4"/>
  <c r="W70" i="4" s="1"/>
  <c r="AU333" i="4"/>
  <c r="X14" i="4"/>
  <c r="AU335" i="4" s="1"/>
  <c r="AU330" i="4"/>
  <c r="X17" i="4"/>
  <c r="AU338" i="4" s="1"/>
  <c r="AU334" i="4"/>
  <c r="X69" i="4"/>
  <c r="BA77" i="26"/>
  <c r="BB77" i="26"/>
  <c r="J77" i="26"/>
  <c r="M77" i="26" s="1"/>
  <c r="F78" i="26"/>
  <c r="BC77" i="26"/>
  <c r="AA47" i="4"/>
  <c r="AA49" i="4"/>
  <c r="AA45" i="4"/>
  <c r="AB86" i="4"/>
  <c r="AB85" i="4"/>
  <c r="AB87" i="4"/>
  <c r="AA48" i="4"/>
  <c r="AA50" i="4"/>
  <c r="AA51" i="4"/>
  <c r="AA46" i="4"/>
  <c r="AB90" i="4"/>
  <c r="AB89" i="4"/>
  <c r="AB88" i="4"/>
  <c r="AB91" i="4"/>
  <c r="AA56" i="4" l="1"/>
  <c r="Z8" i="4"/>
  <c r="Z13" i="4"/>
  <c r="AA52" i="4"/>
  <c r="Z12" i="4"/>
  <c r="AA54" i="4"/>
  <c r="Z10" i="4"/>
  <c r="AA57" i="4"/>
  <c r="Z7" i="4"/>
  <c r="AA53" i="4"/>
  <c r="Z11" i="4"/>
  <c r="AA55" i="4"/>
  <c r="Z9" i="4"/>
  <c r="AD20" i="4"/>
  <c r="AC76" i="4"/>
  <c r="AC6" i="4"/>
  <c r="AC58" i="4"/>
  <c r="AB84" i="4"/>
  <c r="AW390" i="4"/>
  <c r="AW380" i="4"/>
  <c r="AW383" i="4"/>
  <c r="AB62" i="4"/>
  <c r="AW382" i="4"/>
  <c r="AB44" i="4"/>
  <c r="AW386" i="4"/>
  <c r="AW381" i="4"/>
  <c r="AW384" i="4"/>
  <c r="AW389" i="4"/>
  <c r="AW392" i="4"/>
  <c r="AW388" i="4"/>
  <c r="AW391" i="4"/>
  <c r="AW387" i="4"/>
  <c r="AW385" i="4"/>
  <c r="X65" i="4"/>
  <c r="X73" i="4" s="1"/>
  <c r="AU343" i="4"/>
  <c r="Y17" i="4"/>
  <c r="AU351" i="4" s="1"/>
  <c r="X63" i="4"/>
  <c r="X75" i="4" s="1"/>
  <c r="Y19" i="4"/>
  <c r="AU353" i="4" s="1"/>
  <c r="AU341" i="4"/>
  <c r="AU347" i="4"/>
  <c r="Y69" i="4"/>
  <c r="X66" i="4"/>
  <c r="X72" i="4" s="1"/>
  <c r="AU344" i="4"/>
  <c r="Y16" i="4"/>
  <c r="AU350" i="4" s="1"/>
  <c r="X64" i="4"/>
  <c r="X74" i="4" s="1"/>
  <c r="AU342" i="4"/>
  <c r="Y18" i="4"/>
  <c r="AU352" i="4" s="1"/>
  <c r="Y64" i="4"/>
  <c r="Y74" i="4" s="1"/>
  <c r="X68" i="4"/>
  <c r="X70" i="4" s="1"/>
  <c r="Y14" i="4"/>
  <c r="AU348" i="4" s="1"/>
  <c r="AU346" i="4"/>
  <c r="Y68" i="4"/>
  <c r="Y70" i="4" s="1"/>
  <c r="X67" i="4"/>
  <c r="X71" i="4" s="1"/>
  <c r="Y15" i="4"/>
  <c r="AU349" i="4" s="1"/>
  <c r="AU345" i="4"/>
  <c r="BB78" i="26"/>
  <c r="J78" i="26"/>
  <c r="M78" i="26" s="1"/>
  <c r="BA78" i="26"/>
  <c r="BC78" i="26"/>
  <c r="F79" i="26"/>
  <c r="AB51" i="4"/>
  <c r="AB49" i="4"/>
  <c r="AB45" i="4"/>
  <c r="AC89" i="4"/>
  <c r="AC91" i="4"/>
  <c r="AC86" i="4"/>
  <c r="AB48" i="4"/>
  <c r="AB50" i="4"/>
  <c r="AB47" i="4"/>
  <c r="AB46" i="4"/>
  <c r="AC90" i="4"/>
  <c r="AC88" i="4"/>
  <c r="AC87" i="4"/>
  <c r="AC85" i="4"/>
  <c r="AB56" i="4" l="1"/>
  <c r="AA8" i="4"/>
  <c r="Z64" i="4" s="1"/>
  <c r="Z74" i="4" s="1"/>
  <c r="AB55" i="4"/>
  <c r="AA9" i="4"/>
  <c r="AB52" i="4"/>
  <c r="AA12" i="4"/>
  <c r="Z68" i="4" s="1"/>
  <c r="Z70" i="4" s="1"/>
  <c r="AB54" i="4"/>
  <c r="AA10" i="4"/>
  <c r="AB57" i="4"/>
  <c r="AA7" i="4"/>
  <c r="AB53" i="4"/>
  <c r="AA11" i="4"/>
  <c r="AA13" i="4"/>
  <c r="AU373" i="4" s="1"/>
  <c r="Y67" i="4"/>
  <c r="Y71" i="4" s="1"/>
  <c r="Z15" i="4"/>
  <c r="AU362" i="4" s="1"/>
  <c r="AU358" i="4"/>
  <c r="Z14" i="4"/>
  <c r="AU361" i="4" s="1"/>
  <c r="AU359" i="4"/>
  <c r="AW394" i="4"/>
  <c r="AW397" i="4"/>
  <c r="AC84" i="4"/>
  <c r="AW404" i="4"/>
  <c r="AC44" i="4"/>
  <c r="AW400" i="4"/>
  <c r="AC62" i="4"/>
  <c r="AW396" i="4"/>
  <c r="AW403" i="4"/>
  <c r="AW395" i="4"/>
  <c r="AW393" i="4"/>
  <c r="AW398" i="4"/>
  <c r="AW401" i="4"/>
  <c r="AW399" i="4"/>
  <c r="AW402" i="4"/>
  <c r="AW405" i="4"/>
  <c r="AD6" i="4"/>
  <c r="AD58" i="4"/>
  <c r="AE20" i="4"/>
  <c r="AD76" i="4"/>
  <c r="Y65" i="4"/>
  <c r="Y73" i="4" s="1"/>
  <c r="Z17" i="4"/>
  <c r="AU364" i="4" s="1"/>
  <c r="AU356" i="4"/>
  <c r="Y63" i="4"/>
  <c r="Y75" i="4" s="1"/>
  <c r="AU354" i="4"/>
  <c r="Z19" i="4"/>
  <c r="AU366" i="4" s="1"/>
  <c r="Y66" i="4"/>
  <c r="Y72" i="4" s="1"/>
  <c r="AU357" i="4"/>
  <c r="Z16" i="4"/>
  <c r="AU363" i="4" s="1"/>
  <c r="AU360" i="4"/>
  <c r="Z69" i="4"/>
  <c r="Z18" i="4"/>
  <c r="AU365" i="4" s="1"/>
  <c r="AU355" i="4"/>
  <c r="BA79" i="26"/>
  <c r="BB79" i="26"/>
  <c r="J79" i="26"/>
  <c r="M79" i="26" s="1"/>
  <c r="F80" i="26"/>
  <c r="BC79" i="26"/>
  <c r="AC45" i="4"/>
  <c r="AC48" i="4"/>
  <c r="AC46" i="4"/>
  <c r="AC49" i="4"/>
  <c r="AD90" i="4"/>
  <c r="AD89" i="4"/>
  <c r="AD88" i="4"/>
  <c r="AC47" i="4"/>
  <c r="AC50" i="4"/>
  <c r="AC51" i="4"/>
  <c r="AD87" i="4"/>
  <c r="AD86" i="4"/>
  <c r="AD85" i="4"/>
  <c r="AD91" i="4"/>
  <c r="AB13" i="4" l="1"/>
  <c r="AC52" i="4"/>
  <c r="AB12" i="4"/>
  <c r="AC55" i="4"/>
  <c r="AB9" i="4"/>
  <c r="AC53" i="4"/>
  <c r="AB11" i="4"/>
  <c r="AC56" i="4"/>
  <c r="AB8" i="4"/>
  <c r="AA64" i="4" s="1"/>
  <c r="AA74" i="4" s="1"/>
  <c r="AC54" i="4"/>
  <c r="AB10" i="4"/>
  <c r="AC57" i="4"/>
  <c r="AB7" i="4"/>
  <c r="Z63" i="4"/>
  <c r="Z75" i="4" s="1"/>
  <c r="AU367" i="4"/>
  <c r="AA19" i="4"/>
  <c r="AU379" i="4" s="1"/>
  <c r="Z66" i="4"/>
  <c r="Z72" i="4" s="1"/>
  <c r="AU370" i="4"/>
  <c r="AA16" i="4"/>
  <c r="AU376" i="4" s="1"/>
  <c r="Z65" i="4"/>
  <c r="Z73" i="4" s="1"/>
  <c r="AU369" i="4"/>
  <c r="AA17" i="4"/>
  <c r="AU377" i="4" s="1"/>
  <c r="AE76" i="4"/>
  <c r="AE6" i="4"/>
  <c r="AE58" i="4"/>
  <c r="AF20" i="4"/>
  <c r="AD44" i="4"/>
  <c r="AW411" i="4"/>
  <c r="AD62" i="4"/>
  <c r="AW407" i="4"/>
  <c r="AD84" i="4"/>
  <c r="AW417" i="4"/>
  <c r="AW413" i="4"/>
  <c r="AW408" i="4"/>
  <c r="AW406" i="4"/>
  <c r="AW412" i="4"/>
  <c r="AW410" i="4"/>
  <c r="AW416" i="4"/>
  <c r="AW414" i="4"/>
  <c r="AW409" i="4"/>
  <c r="AW418" i="4"/>
  <c r="AW415" i="4"/>
  <c r="Z67" i="4"/>
  <c r="Z71" i="4" s="1"/>
  <c r="AA15" i="4"/>
  <c r="AU375" i="4" s="1"/>
  <c r="AU371" i="4"/>
  <c r="AA14" i="4"/>
  <c r="AU374" i="4" s="1"/>
  <c r="AU372" i="4"/>
  <c r="AU368" i="4"/>
  <c r="AA18" i="4"/>
  <c r="AU378" i="4" s="1"/>
  <c r="BB80" i="26"/>
  <c r="J80" i="26"/>
  <c r="M80" i="26" s="1"/>
  <c r="BA80" i="26"/>
  <c r="F81" i="26"/>
  <c r="BC80" i="26"/>
  <c r="AD51" i="4"/>
  <c r="AD46" i="4"/>
  <c r="AD48" i="4"/>
  <c r="AD50" i="4"/>
  <c r="AE89" i="4"/>
  <c r="AE87" i="4"/>
  <c r="AE86" i="4"/>
  <c r="AE91" i="4"/>
  <c r="AD45" i="4"/>
  <c r="AD47" i="4"/>
  <c r="AD49" i="4"/>
  <c r="AE88" i="4"/>
  <c r="AE90" i="4"/>
  <c r="AE85" i="4"/>
  <c r="AD53" i="4" l="1"/>
  <c r="AC11" i="4"/>
  <c r="AD55" i="4"/>
  <c r="AC9" i="4"/>
  <c r="AD57" i="4"/>
  <c r="AC7" i="4"/>
  <c r="AB63" i="4" s="1"/>
  <c r="AB75" i="4" s="1"/>
  <c r="AD52" i="4"/>
  <c r="AC12" i="4"/>
  <c r="AD54" i="4"/>
  <c r="AC10" i="4"/>
  <c r="AD56" i="4"/>
  <c r="AC8" i="4"/>
  <c r="AC13" i="4"/>
  <c r="AA66" i="4"/>
  <c r="AA72" i="4" s="1"/>
  <c r="AU383" i="4"/>
  <c r="AB16" i="4"/>
  <c r="AU389" i="4" s="1"/>
  <c r="AA67" i="4"/>
  <c r="AA71" i="4" s="1"/>
  <c r="AU384" i="4"/>
  <c r="AB15" i="4"/>
  <c r="AU388" i="4" s="1"/>
  <c r="AB67" i="4"/>
  <c r="AB71" i="4" s="1"/>
  <c r="AA65" i="4"/>
  <c r="AA73" i="4" s="1"/>
  <c r="AB17" i="4"/>
  <c r="AU390" i="4" s="1"/>
  <c r="AU382" i="4"/>
  <c r="AA69" i="4"/>
  <c r="AU386" i="4"/>
  <c r="AF6" i="4"/>
  <c r="AF58" i="4"/>
  <c r="AG20" i="4"/>
  <c r="AF76" i="4"/>
  <c r="AW421" i="4"/>
  <c r="AW424" i="4"/>
  <c r="AW429" i="4"/>
  <c r="AW419" i="4"/>
  <c r="AW428" i="4"/>
  <c r="AW431" i="4"/>
  <c r="AW427" i="4"/>
  <c r="AW425" i="4"/>
  <c r="AE84" i="4"/>
  <c r="AW430" i="4"/>
  <c r="AW420" i="4"/>
  <c r="AW423" i="4"/>
  <c r="AE62" i="4"/>
  <c r="AW422" i="4"/>
  <c r="AE44" i="4"/>
  <c r="AW426" i="4"/>
  <c r="AA63" i="4"/>
  <c r="AA75" i="4" s="1"/>
  <c r="AU380" i="4"/>
  <c r="AB19" i="4"/>
  <c r="AU392" i="4" s="1"/>
  <c r="AU381" i="4"/>
  <c r="AB18" i="4"/>
  <c r="AU391" i="4" s="1"/>
  <c r="AA68" i="4"/>
  <c r="AA70" i="4" s="1"/>
  <c r="AU385" i="4"/>
  <c r="AB14" i="4"/>
  <c r="AU387" i="4" s="1"/>
  <c r="BA81" i="26"/>
  <c r="BB81" i="26"/>
  <c r="J81" i="26"/>
  <c r="M81" i="26" s="1"/>
  <c r="F82" i="26"/>
  <c r="BC81" i="26"/>
  <c r="AE45" i="4"/>
  <c r="AE48" i="4"/>
  <c r="AE51" i="4"/>
  <c r="AE47" i="4"/>
  <c r="AF85" i="4"/>
  <c r="AF91" i="4"/>
  <c r="AF90" i="4"/>
  <c r="AE50" i="4"/>
  <c r="AE46" i="4"/>
  <c r="AE49" i="4"/>
  <c r="AF89" i="4"/>
  <c r="AF88" i="4"/>
  <c r="AF87" i="4"/>
  <c r="AF86" i="4"/>
  <c r="AE53" i="4" l="1"/>
  <c r="AD11" i="4"/>
  <c r="AE56" i="4"/>
  <c r="AD8" i="4"/>
  <c r="AE52" i="4"/>
  <c r="AD12" i="4"/>
  <c r="AE55" i="4"/>
  <c r="AD9" i="4"/>
  <c r="AD13" i="4"/>
  <c r="AU412" i="4" s="1"/>
  <c r="AE54" i="4"/>
  <c r="AD10" i="4"/>
  <c r="AE57" i="4"/>
  <c r="AD7" i="4"/>
  <c r="AB66" i="4"/>
  <c r="AB72" i="4" s="1"/>
  <c r="AC16" i="4"/>
  <c r="AU402" i="4" s="1"/>
  <c r="AU396" i="4"/>
  <c r="AC19" i="4"/>
  <c r="AU405" i="4" s="1"/>
  <c r="AU393" i="4"/>
  <c r="AC63" i="4"/>
  <c r="AC75" i="4" s="1"/>
  <c r="AC15" i="4"/>
  <c r="AU401" i="4" s="1"/>
  <c r="AU397" i="4"/>
  <c r="AG6" i="4"/>
  <c r="AG58" i="4"/>
  <c r="AG76" i="4"/>
  <c r="AW437" i="4"/>
  <c r="AF44" i="4"/>
  <c r="AW436" i="4"/>
  <c r="AF62" i="4"/>
  <c r="AW440" i="4"/>
  <c r="AF84" i="4"/>
  <c r="AW442" i="4"/>
  <c r="AW432" i="4"/>
  <c r="AW443" i="4"/>
  <c r="AW438" i="4"/>
  <c r="AW441" i="4"/>
  <c r="AW435" i="4"/>
  <c r="AW434" i="4"/>
  <c r="AW444" i="4"/>
  <c r="AW433" i="4"/>
  <c r="AW439" i="4"/>
  <c r="AB69" i="4"/>
  <c r="AU399" i="4"/>
  <c r="AC69" i="4"/>
  <c r="AB64" i="4"/>
  <c r="AB74" i="4" s="1"/>
  <c r="AC18" i="4"/>
  <c r="AU404" i="4" s="1"/>
  <c r="AU394" i="4"/>
  <c r="AB68" i="4"/>
  <c r="AB70" i="4" s="1"/>
  <c r="AC14" i="4"/>
  <c r="AU400" i="4" s="1"/>
  <c r="AU398" i="4"/>
  <c r="AB65" i="4"/>
  <c r="AB73" i="4" s="1"/>
  <c r="AC17" i="4"/>
  <c r="AU403" i="4" s="1"/>
  <c r="AU395" i="4"/>
  <c r="BB82" i="26"/>
  <c r="J82" i="26"/>
  <c r="M82" i="26" s="1"/>
  <c r="BA82" i="26"/>
  <c r="BC82" i="26"/>
  <c r="F83" i="26"/>
  <c r="AF46" i="4"/>
  <c r="AF48" i="4"/>
  <c r="AF51" i="4"/>
  <c r="AG87" i="4"/>
  <c r="AG86" i="4"/>
  <c r="AG85" i="4"/>
  <c r="AF47" i="4"/>
  <c r="AF49" i="4"/>
  <c r="AF50" i="4"/>
  <c r="AF45" i="4"/>
  <c r="AG88" i="4"/>
  <c r="AG90" i="4"/>
  <c r="AG89" i="4"/>
  <c r="AG91" i="4"/>
  <c r="AF57" i="4" l="1"/>
  <c r="AE7" i="4"/>
  <c r="AF52" i="4"/>
  <c r="AE12" i="4"/>
  <c r="AF53" i="4"/>
  <c r="AE11" i="4"/>
  <c r="AF55" i="4"/>
  <c r="AE9" i="4"/>
  <c r="AE13" i="4"/>
  <c r="AF54" i="4"/>
  <c r="AE10" i="4"/>
  <c r="AF56" i="4"/>
  <c r="AE8" i="4"/>
  <c r="AC66" i="4"/>
  <c r="AC72" i="4" s="1"/>
  <c r="AU409" i="4"/>
  <c r="AD16" i="4"/>
  <c r="AU415" i="4" s="1"/>
  <c r="AC64" i="4"/>
  <c r="AC74" i="4" s="1"/>
  <c r="AU407" i="4"/>
  <c r="AD18" i="4"/>
  <c r="AU417" i="4" s="1"/>
  <c r="AW456" i="4"/>
  <c r="AW453" i="4"/>
  <c r="AG84" i="4"/>
  <c r="AW445" i="4"/>
  <c r="AG44" i="4"/>
  <c r="AW455" i="4"/>
  <c r="AG62" i="4"/>
  <c r="AW447" i="4"/>
  <c r="AW454" i="4"/>
  <c r="AW457" i="4"/>
  <c r="AW450" i="4"/>
  <c r="AW451" i="4"/>
  <c r="AW446" i="4"/>
  <c r="AW452" i="4"/>
  <c r="AW449" i="4"/>
  <c r="AW448" i="4"/>
  <c r="AU406" i="4"/>
  <c r="AD19" i="4"/>
  <c r="AU418" i="4" s="1"/>
  <c r="AD63" i="4"/>
  <c r="AD75" i="4" s="1"/>
  <c r="AC65" i="4"/>
  <c r="AC73" i="4" s="1"/>
  <c r="AU408" i="4"/>
  <c r="AD17" i="4"/>
  <c r="AU416" i="4" s="1"/>
  <c r="AC68" i="4"/>
  <c r="AC70" i="4" s="1"/>
  <c r="AU411" i="4"/>
  <c r="AD14" i="4"/>
  <c r="AU413" i="4" s="1"/>
  <c r="AC67" i="4"/>
  <c r="AC71" i="4" s="1"/>
  <c r="AU410" i="4"/>
  <c r="AD15" i="4"/>
  <c r="AU414" i="4" s="1"/>
  <c r="BA83" i="26"/>
  <c r="BB83" i="26"/>
  <c r="J83" i="26"/>
  <c r="M83" i="26" s="1"/>
  <c r="BC83" i="26"/>
  <c r="F84" i="26"/>
  <c r="AG51" i="4"/>
  <c r="AG50" i="4"/>
  <c r="AG45" i="4"/>
  <c r="AG47" i="4"/>
  <c r="AG49" i="4"/>
  <c r="AG48" i="4"/>
  <c r="AG46" i="4"/>
  <c r="AG8" i="4" l="1"/>
  <c r="AG56" i="4"/>
  <c r="AF8" i="4"/>
  <c r="AG54" i="4"/>
  <c r="AG10" i="4"/>
  <c r="AF10" i="4"/>
  <c r="AG11" i="4"/>
  <c r="AG53" i="4"/>
  <c r="AF11" i="4"/>
  <c r="AG55" i="4"/>
  <c r="AG9" i="4"/>
  <c r="AF9" i="4"/>
  <c r="AE65" i="4" s="1"/>
  <c r="AE73" i="4" s="1"/>
  <c r="AG7" i="4"/>
  <c r="AG57" i="4"/>
  <c r="AF7" i="4"/>
  <c r="AG12" i="4"/>
  <c r="AG52" i="4"/>
  <c r="AF12" i="4"/>
  <c r="AG13" i="4"/>
  <c r="AF13" i="4"/>
  <c r="AD66" i="4"/>
  <c r="AD72" i="4" s="1"/>
  <c r="AU422" i="4"/>
  <c r="AE16" i="4"/>
  <c r="AU428" i="4" s="1"/>
  <c r="AD65" i="4"/>
  <c r="AD73" i="4" s="1"/>
  <c r="AE17" i="4"/>
  <c r="AU429" i="4" s="1"/>
  <c r="AU421" i="4"/>
  <c r="AD68" i="4"/>
  <c r="AD70" i="4" s="1"/>
  <c r="AE14" i="4"/>
  <c r="AU426" i="4" s="1"/>
  <c r="AU424" i="4"/>
  <c r="AD64" i="4"/>
  <c r="AD74" i="4" s="1"/>
  <c r="AE18" i="4"/>
  <c r="AU430" i="4" s="1"/>
  <c r="AU420" i="4"/>
  <c r="AD69" i="4"/>
  <c r="AU425" i="4"/>
  <c r="AD67" i="4"/>
  <c r="AD71" i="4" s="1"/>
  <c r="AU423" i="4"/>
  <c r="AE15" i="4"/>
  <c r="AU427" i="4" s="1"/>
  <c r="AU419" i="4"/>
  <c r="AE19" i="4"/>
  <c r="AU431" i="4" s="1"/>
  <c r="BB84" i="26"/>
  <c r="J84" i="26"/>
  <c r="M84" i="26" s="1"/>
  <c r="BA84" i="26"/>
  <c r="BC84" i="26"/>
  <c r="F85" i="26"/>
  <c r="AE69" i="4" l="1"/>
  <c r="AU438" i="4"/>
  <c r="AF69" i="4"/>
  <c r="AE68" i="4"/>
  <c r="AE70" i="4" s="1"/>
  <c r="AF68" i="4"/>
  <c r="AF70" i="4" s="1"/>
  <c r="AF14" i="4"/>
  <c r="AU439" i="4" s="1"/>
  <c r="AU437" i="4"/>
  <c r="AG14" i="4"/>
  <c r="AU452" i="4" s="1"/>
  <c r="AG68" i="4"/>
  <c r="AG70" i="4" s="1"/>
  <c r="AU450" i="4"/>
  <c r="AF65" i="4"/>
  <c r="AF73" i="4" s="1"/>
  <c r="AF17" i="4"/>
  <c r="AU442" i="4" s="1"/>
  <c r="AU434" i="4"/>
  <c r="AE66" i="4"/>
  <c r="AE72" i="4" s="1"/>
  <c r="AF66" i="4"/>
  <c r="AF72" i="4" s="1"/>
  <c r="AU435" i="4"/>
  <c r="AF16" i="4"/>
  <c r="AU441" i="4" s="1"/>
  <c r="AU451" i="4"/>
  <c r="AG69" i="4"/>
  <c r="AE63" i="4"/>
  <c r="AE75" i="4" s="1"/>
  <c r="AF19" i="4"/>
  <c r="AU444" i="4" s="1"/>
  <c r="AF63" i="4"/>
  <c r="AF75" i="4" s="1"/>
  <c r="AU432" i="4"/>
  <c r="AG63" i="4"/>
  <c r="AG75" i="4" s="1"/>
  <c r="AU445" i="4"/>
  <c r="AG19" i="4"/>
  <c r="AU457" i="4" s="1"/>
  <c r="AE32" i="4"/>
  <c r="AG17" i="4"/>
  <c r="AU455" i="4" s="1"/>
  <c r="AG65" i="4"/>
  <c r="AG73" i="4" s="1"/>
  <c r="AU447" i="4"/>
  <c r="AE67" i="4"/>
  <c r="AE71" i="4" s="1"/>
  <c r="AF15" i="4"/>
  <c r="AU440" i="4" s="1"/>
  <c r="AF67" i="4"/>
  <c r="AF71" i="4" s="1"/>
  <c r="AU436" i="4"/>
  <c r="AG67" i="4"/>
  <c r="AG71" i="4" s="1"/>
  <c r="AU449" i="4"/>
  <c r="AG15" i="4"/>
  <c r="AU453" i="4" s="1"/>
  <c r="AG16" i="4"/>
  <c r="AU454" i="4" s="1"/>
  <c r="AG66" i="4"/>
  <c r="AG72" i="4" s="1"/>
  <c r="AU448" i="4"/>
  <c r="AE64" i="4"/>
  <c r="AE74" i="4" s="1"/>
  <c r="AF64" i="4"/>
  <c r="AF74" i="4" s="1"/>
  <c r="AU433" i="4"/>
  <c r="AF18" i="4"/>
  <c r="AU443" i="4" s="1"/>
  <c r="AU446" i="4"/>
  <c r="AG64" i="4"/>
  <c r="AG74" i="4" s="1"/>
  <c r="AG18" i="4"/>
  <c r="AU456" i="4" s="1"/>
  <c r="BA85" i="26"/>
  <c r="BB85" i="26"/>
  <c r="J85" i="26"/>
  <c r="M85" i="26" s="1"/>
  <c r="BC85" i="26"/>
  <c r="F86" i="26"/>
  <c r="BB86" i="26" l="1"/>
  <c r="J86" i="26"/>
  <c r="M86" i="26" s="1"/>
  <c r="BA86" i="26"/>
  <c r="BC86" i="26"/>
  <c r="F87" i="26"/>
  <c r="BA87" i="26" l="1"/>
  <c r="BB87" i="26"/>
  <c r="J87" i="26"/>
  <c r="M87" i="26" s="1"/>
  <c r="BC87" i="26"/>
  <c r="F88" i="26"/>
  <c r="BB88" i="26" l="1"/>
  <c r="J88" i="26"/>
  <c r="M88" i="26" s="1"/>
  <c r="BA88" i="26"/>
  <c r="BC88" i="26"/>
  <c r="F89" i="26"/>
  <c r="BA89" i="26" l="1"/>
  <c r="BB89" i="26"/>
  <c r="J89" i="26"/>
  <c r="M89" i="26" s="1"/>
  <c r="BC89" i="26"/>
  <c r="F90" i="26"/>
  <c r="BB90" i="26" l="1"/>
  <c r="J90" i="26"/>
  <c r="M90" i="26" s="1"/>
  <c r="BA90" i="26"/>
  <c r="BC90" i="26"/>
  <c r="F91" i="26"/>
  <c r="BA91" i="26" l="1"/>
  <c r="BB91" i="26"/>
  <c r="J91" i="26"/>
  <c r="M91" i="26" s="1"/>
  <c r="BC91" i="26"/>
  <c r="F92" i="26"/>
  <c r="BB92" i="26" l="1"/>
  <c r="J92" i="26"/>
  <c r="M92" i="26" s="1"/>
  <c r="BA92" i="26"/>
  <c r="F93" i="26"/>
  <c r="BC92" i="26"/>
  <c r="BA93" i="26" l="1"/>
  <c r="BB93" i="26"/>
  <c r="J93" i="26"/>
  <c r="BC93" i="26"/>
  <c r="M93" i="26" l="1"/>
  <c r="J17" i="26"/>
  <c r="J15" i="26" s="1"/>
  <c r="J16" i="26" l="1"/>
  <c r="J21" i="26" s="1"/>
  <c r="J22" i="26"/>
  <c r="O114" i="26" l="1"/>
  <c r="P114" i="26" s="1"/>
  <c r="S114" i="26" s="1"/>
  <c r="O115" i="26"/>
  <c r="Q114" i="26"/>
  <c r="R114" i="26" s="1"/>
  <c r="O112" i="26"/>
  <c r="Q112" i="26" s="1"/>
  <c r="R112" i="26" s="1"/>
  <c r="O113" i="26"/>
  <c r="P112" i="26"/>
  <c r="S112" i="26" s="1"/>
  <c r="O110" i="26"/>
  <c r="P110" i="26" s="1"/>
  <c r="S110" i="26" s="1"/>
  <c r="O111" i="26"/>
  <c r="Q110" i="26"/>
  <c r="R110" i="26" s="1"/>
  <c r="O68" i="26"/>
  <c r="P68" i="26" s="1"/>
  <c r="S68" i="26" s="1"/>
  <c r="O109" i="26"/>
  <c r="O108" i="26"/>
  <c r="Q108" i="26" s="1"/>
  <c r="R108" i="26" s="1"/>
  <c r="O104" i="26"/>
  <c r="P104" i="26" s="1"/>
  <c r="S104" i="26" s="1"/>
  <c r="O103" i="26"/>
  <c r="P103" i="26" s="1"/>
  <c r="S103" i="26" s="1"/>
  <c r="O106" i="26"/>
  <c r="P106" i="26" s="1"/>
  <c r="S106" i="26" s="1"/>
  <c r="O83" i="26"/>
  <c r="Q83" i="26" s="1"/>
  <c r="R83" i="26" s="1"/>
  <c r="O107" i="26"/>
  <c r="P107" i="26" s="1"/>
  <c r="S107" i="26" s="1"/>
  <c r="O105" i="26"/>
  <c r="P105" i="26" s="1"/>
  <c r="S105" i="26" s="1"/>
  <c r="O91" i="26"/>
  <c r="P91" i="26" s="1"/>
  <c r="S91" i="26" s="1"/>
  <c r="O55" i="26"/>
  <c r="P55" i="26" s="1"/>
  <c r="S55" i="26" s="1"/>
  <c r="O86" i="26"/>
  <c r="P86" i="26" s="1"/>
  <c r="S86" i="26" s="1"/>
  <c r="O71" i="26"/>
  <c r="Q71" i="26" s="1"/>
  <c r="R71" i="26" s="1"/>
  <c r="O69" i="26"/>
  <c r="P69" i="26" s="1"/>
  <c r="S69" i="26" s="1"/>
  <c r="O97" i="26"/>
  <c r="Q97" i="26" s="1"/>
  <c r="R97" i="26" s="1"/>
  <c r="O95" i="26"/>
  <c r="P95" i="26" s="1"/>
  <c r="S95" i="26" s="1"/>
  <c r="O59" i="26"/>
  <c r="P59" i="26" s="1"/>
  <c r="S59" i="26" s="1"/>
  <c r="O87" i="26"/>
  <c r="Q87" i="26" s="1"/>
  <c r="R87" i="26" s="1"/>
  <c r="O53" i="26"/>
  <c r="P53" i="26" s="1"/>
  <c r="S53" i="26" s="1"/>
  <c r="O81" i="26"/>
  <c r="P81" i="26" s="1"/>
  <c r="S81" i="26" s="1"/>
  <c r="O98" i="26"/>
  <c r="Q98" i="26" s="1"/>
  <c r="R98" i="26" s="1"/>
  <c r="O78" i="26"/>
  <c r="Q78" i="26" s="1"/>
  <c r="R78" i="26" s="1"/>
  <c r="O76" i="26"/>
  <c r="P76" i="26" s="1"/>
  <c r="S76" i="26" s="1"/>
  <c r="O58" i="26"/>
  <c r="Q58" i="26" s="1"/>
  <c r="R58" i="26" s="1"/>
  <c r="O94" i="26"/>
  <c r="P94" i="26" s="1"/>
  <c r="S94" i="26" s="1"/>
  <c r="O80" i="26"/>
  <c r="P80" i="26" s="1"/>
  <c r="S80" i="26" s="1"/>
  <c r="O79" i="26"/>
  <c r="Q79" i="26" s="1"/>
  <c r="R79" i="26" s="1"/>
  <c r="O56" i="26"/>
  <c r="P56" i="26" s="1"/>
  <c r="S56" i="26" s="1"/>
  <c r="O57" i="26"/>
  <c r="Q57" i="26" s="1"/>
  <c r="R57" i="26" s="1"/>
  <c r="O63" i="26"/>
  <c r="Q63" i="26" s="1"/>
  <c r="R63" i="26" s="1"/>
  <c r="O72" i="26"/>
  <c r="Q72" i="26" s="1"/>
  <c r="R72" i="26" s="1"/>
  <c r="O75" i="26"/>
  <c r="Q75" i="26" s="1"/>
  <c r="R75" i="26" s="1"/>
  <c r="O102" i="26"/>
  <c r="Q102" i="26" s="1"/>
  <c r="R102" i="26" s="1"/>
  <c r="O100" i="26"/>
  <c r="Q100" i="26" s="1"/>
  <c r="R100" i="26" s="1"/>
  <c r="O54" i="26"/>
  <c r="Q54" i="26" s="1"/>
  <c r="R54" i="26" s="1"/>
  <c r="O96" i="26"/>
  <c r="Q96" i="26" s="1"/>
  <c r="R96" i="26" s="1"/>
  <c r="O89" i="26"/>
  <c r="Q89" i="26" s="1"/>
  <c r="R89" i="26" s="1"/>
  <c r="O66" i="26"/>
  <c r="Q66" i="26" s="1"/>
  <c r="R66" i="26" s="1"/>
  <c r="O62" i="26"/>
  <c r="Q62" i="26" s="1"/>
  <c r="R62" i="26" s="1"/>
  <c r="O88" i="26"/>
  <c r="P88" i="26" s="1"/>
  <c r="S88" i="26" s="1"/>
  <c r="O82" i="26"/>
  <c r="Q82" i="26" s="1"/>
  <c r="R82" i="26" s="1"/>
  <c r="O64" i="26"/>
  <c r="Q64" i="26" s="1"/>
  <c r="R64" i="26" s="1"/>
  <c r="O61" i="26"/>
  <c r="Q61" i="26" s="1"/>
  <c r="R61" i="26" s="1"/>
  <c r="O52" i="26"/>
  <c r="Q52" i="26" s="1"/>
  <c r="R52" i="26" s="1"/>
  <c r="O84" i="26"/>
  <c r="Q84" i="26" s="1"/>
  <c r="R84" i="26" s="1"/>
  <c r="O74" i="26"/>
  <c r="P74" i="26" s="1"/>
  <c r="S74" i="26" s="1"/>
  <c r="O60" i="26"/>
  <c r="Q60" i="26" s="1"/>
  <c r="R60" i="26" s="1"/>
  <c r="O77" i="26"/>
  <c r="Q77" i="26" s="1"/>
  <c r="R77" i="26" s="1"/>
  <c r="O99" i="26"/>
  <c r="Q99" i="26" s="1"/>
  <c r="R99" i="26" s="1"/>
  <c r="O67" i="26"/>
  <c r="Q67" i="26" s="1"/>
  <c r="R67" i="26" s="1"/>
  <c r="O65" i="26"/>
  <c r="Q65" i="26" s="1"/>
  <c r="R65" i="26" s="1"/>
  <c r="O93" i="26"/>
  <c r="Q93" i="26" s="1"/>
  <c r="R93" i="26" s="1"/>
  <c r="O92" i="26"/>
  <c r="Q92" i="26" s="1"/>
  <c r="R92" i="26" s="1"/>
  <c r="O101" i="26"/>
  <c r="Q101" i="26" s="1"/>
  <c r="R101" i="26" s="1"/>
  <c r="O70" i="26"/>
  <c r="Q70" i="26" s="1"/>
  <c r="R70" i="26" s="1"/>
  <c r="O73" i="26"/>
  <c r="Q73" i="26" s="1"/>
  <c r="R73" i="26" s="1"/>
  <c r="O90" i="26"/>
  <c r="Q90" i="26" s="1"/>
  <c r="R90" i="26" s="1"/>
  <c r="O85" i="26"/>
  <c r="Q85" i="26" s="1"/>
  <c r="R85" i="26" s="1"/>
  <c r="P83" i="26"/>
  <c r="S83" i="26" s="1"/>
  <c r="Q115" i="26" l="1"/>
  <c r="R115" i="26" s="1"/>
  <c r="P115" i="26"/>
  <c r="S115" i="26" s="1"/>
  <c r="Q113" i="26"/>
  <c r="R113" i="26" s="1"/>
  <c r="P113" i="26"/>
  <c r="S113" i="26" s="1"/>
  <c r="Q68" i="26"/>
  <c r="R68" i="26" s="1"/>
  <c r="Q111" i="26"/>
  <c r="R111" i="26" s="1"/>
  <c r="P111" i="26"/>
  <c r="S111" i="26" s="1"/>
  <c r="Q109" i="26"/>
  <c r="R109" i="26" s="1"/>
  <c r="P109" i="26"/>
  <c r="S109" i="26" s="1"/>
  <c r="Q55" i="26"/>
  <c r="R55" i="26" s="1"/>
  <c r="P57" i="26"/>
  <c r="S57" i="26" s="1"/>
  <c r="P60" i="26"/>
  <c r="S60" i="26" s="1"/>
  <c r="P62" i="26"/>
  <c r="S62" i="26" s="1"/>
  <c r="P79" i="26"/>
  <c r="S79" i="26" s="1"/>
  <c r="P92" i="26"/>
  <c r="S92" i="26" s="1"/>
  <c r="P89" i="26"/>
  <c r="S89" i="26" s="1"/>
  <c r="Q76" i="26"/>
  <c r="R76" i="26" s="1"/>
  <c r="Q103" i="26"/>
  <c r="R103" i="26" s="1"/>
  <c r="Q94" i="26"/>
  <c r="R94" i="26" s="1"/>
  <c r="P71" i="26"/>
  <c r="S71" i="26" s="1"/>
  <c r="P58" i="26"/>
  <c r="S58" i="26" s="1"/>
  <c r="P90" i="26"/>
  <c r="S90" i="26" s="1"/>
  <c r="P99" i="26"/>
  <c r="S99" i="26" s="1"/>
  <c r="P61" i="26"/>
  <c r="S61" i="26" s="1"/>
  <c r="P54" i="26"/>
  <c r="S54" i="26" s="1"/>
  <c r="P98" i="26"/>
  <c r="S98" i="26" s="1"/>
  <c r="Q59" i="26"/>
  <c r="R59" i="26" s="1"/>
  <c r="Q53" i="26"/>
  <c r="R53" i="26" s="1"/>
  <c r="Q105" i="26"/>
  <c r="R105" i="26" s="1"/>
  <c r="P70" i="26"/>
  <c r="S70" i="26" s="1"/>
  <c r="P82" i="26"/>
  <c r="S82" i="26" s="1"/>
  <c r="P72" i="26"/>
  <c r="S72" i="26" s="1"/>
  <c r="P97" i="26"/>
  <c r="S97" i="26" s="1"/>
  <c r="P108" i="26"/>
  <c r="S108" i="26" s="1"/>
  <c r="P65" i="26"/>
  <c r="S65" i="26" s="1"/>
  <c r="P84" i="26"/>
  <c r="S84" i="26" s="1"/>
  <c r="P102" i="26"/>
  <c r="S102" i="26" s="1"/>
  <c r="P100" i="26"/>
  <c r="S100" i="26" s="1"/>
  <c r="P63" i="26"/>
  <c r="S63" i="26" s="1"/>
  <c r="P87" i="26"/>
  <c r="S87" i="26" s="1"/>
  <c r="Q86" i="26"/>
  <c r="R86" i="26" s="1"/>
  <c r="P66" i="26"/>
  <c r="S66" i="26" s="1"/>
  <c r="P96" i="26"/>
  <c r="S96" i="26" s="1"/>
  <c r="P78" i="26"/>
  <c r="S78" i="26" s="1"/>
  <c r="Q104" i="26"/>
  <c r="R104" i="26" s="1"/>
  <c r="P93" i="26"/>
  <c r="S93" i="26" s="1"/>
  <c r="P77" i="26"/>
  <c r="S77" i="26" s="1"/>
  <c r="Q81" i="26"/>
  <c r="R81" i="26" s="1"/>
  <c r="Q91" i="26"/>
  <c r="R91" i="26" s="1"/>
  <c r="P85" i="26"/>
  <c r="S85" i="26" s="1"/>
  <c r="P73" i="26"/>
  <c r="S73" i="26" s="1"/>
  <c r="Q95" i="26"/>
  <c r="R95" i="26" s="1"/>
  <c r="Q69" i="26"/>
  <c r="R69" i="26" s="1"/>
  <c r="Q106" i="26"/>
  <c r="R106" i="26" s="1"/>
  <c r="Q107" i="26"/>
  <c r="R107" i="26" s="1"/>
  <c r="P52" i="26"/>
  <c r="S52" i="26" s="1"/>
  <c r="Q74" i="26"/>
  <c r="R74" i="26" s="1"/>
  <c r="P64" i="26"/>
  <c r="S64" i="26" s="1"/>
  <c r="Q88" i="26"/>
  <c r="R88" i="26" s="1"/>
  <c r="P75" i="26"/>
  <c r="S75" i="26" s="1"/>
  <c r="Q56" i="26"/>
  <c r="R56" i="26" s="1"/>
  <c r="P101" i="26"/>
  <c r="S101" i="26" s="1"/>
  <c r="P67" i="26"/>
  <c r="S67" i="26" s="1"/>
  <c r="Q80" i="26"/>
  <c r="R80" i="26" s="1"/>
</calcChain>
</file>

<file path=xl/sharedStrings.xml><?xml version="1.0" encoding="utf-8"?>
<sst xmlns="http://schemas.openxmlformats.org/spreadsheetml/2006/main" count="774" uniqueCount="349">
  <si>
    <t>beta</t>
  </si>
  <si>
    <t>Ly</t>
  </si>
  <si>
    <t>Jcal</t>
  </si>
  <si>
    <t>Mcal</t>
  </si>
  <si>
    <t>Y0</t>
  </si>
  <si>
    <t>Aquifer porosity</t>
  </si>
  <si>
    <t>Retardation factor</t>
  </si>
  <si>
    <t>Longitudinal dispersivity</t>
  </si>
  <si>
    <t>Transverse dispersivity</t>
  </si>
  <si>
    <t xml:space="preserve"> 1/d</t>
  </si>
  <si>
    <t>Aquifer thickness</t>
  </si>
  <si>
    <t>Mass flux on calibration date</t>
  </si>
  <si>
    <t>Source mass on calibration date</t>
  </si>
  <si>
    <t>Source depletion exponent</t>
  </si>
  <si>
    <t>Source zone width</t>
  </si>
  <si>
    <t>m/d</t>
  </si>
  <si>
    <t>m</t>
  </si>
  <si>
    <t>1/d</t>
  </si>
  <si>
    <t>Color for &gt;</t>
  </si>
  <si>
    <t xml:space="preserve">Distance from downgradient edge of source (x), meters </t>
  </si>
  <si>
    <t>y-coord</t>
  </si>
  <si>
    <t>F9 - calc workbook now</t>
  </si>
  <si>
    <t>Shift + F9 - calc worksheet now</t>
  </si>
  <si>
    <t>Delta X</t>
  </si>
  <si>
    <t>Delta Y</t>
  </si>
  <si>
    <t>DNAPL Source Zone</t>
  </si>
  <si>
    <t>m2/d</t>
  </si>
  <si>
    <t>Groundwater darcy velocity</t>
  </si>
  <si>
    <t>Lz</t>
  </si>
  <si>
    <t xml:space="preserve">Ycal </t>
  </si>
  <si>
    <t xml:space="preserve">qw </t>
  </si>
  <si>
    <t xml:space="preserve">phi </t>
  </si>
  <si>
    <t xml:space="preserve">R </t>
  </si>
  <si>
    <t>decay</t>
  </si>
  <si>
    <t>Disp x</t>
  </si>
  <si>
    <t>Disp y</t>
  </si>
  <si>
    <t>yes</t>
  </si>
  <si>
    <t xml:space="preserve"> m</t>
  </si>
  <si>
    <t xml:space="preserve"> d</t>
  </si>
  <si>
    <t xml:space="preserve"> m2/d</t>
  </si>
  <si>
    <t>Effective vapor diffusivity</t>
  </si>
  <si>
    <t>Effective vertical GW diffusivity</t>
  </si>
  <si>
    <t xml:space="preserve">m </t>
  </si>
  <si>
    <t>I sat</t>
  </si>
  <si>
    <t>d/m</t>
  </si>
  <si>
    <t>I soil</t>
  </si>
  <si>
    <t>kappa</t>
  </si>
  <si>
    <t>Aqueous diffusion coefficient</t>
  </si>
  <si>
    <t>for TCE at ~10 deg C</t>
  </si>
  <si>
    <t>Air viscosity</t>
  </si>
  <si>
    <t>kg/m/s</t>
  </si>
  <si>
    <t>Atm pressure</t>
  </si>
  <si>
    <t>kg/m/s2</t>
  </si>
  <si>
    <t>Volatilization calcs</t>
  </si>
  <si>
    <t>Aqueous decay coefficient</t>
  </si>
  <si>
    <t>-</t>
  </si>
  <si>
    <t xml:space="preserve"> year</t>
  </si>
  <si>
    <t>year</t>
  </si>
  <si>
    <t>kg/d</t>
  </si>
  <si>
    <t xml:space="preserve">kg </t>
  </si>
  <si>
    <t>Consider volatilization? (yes/no)</t>
  </si>
  <si>
    <t>Aquifer parameters</t>
  </si>
  <si>
    <t>Note: Computed concentrations correspond to centroid coordinates of cells</t>
  </si>
  <si>
    <t>Estimate of release date</t>
  </si>
  <si>
    <t>Source calibration date</t>
  </si>
  <si>
    <t xml:space="preserve">  Input Parameters for 2-D Transport Model with Depleting DNAPL Source, Biodecay and Volatilization</t>
  </si>
  <si>
    <t>Simulation date</t>
  </si>
  <si>
    <t xml:space="preserve"> yr</t>
  </si>
  <si>
    <t>Help</t>
  </si>
  <si>
    <t>Domain width</t>
  </si>
  <si>
    <t>Domain length</t>
  </si>
  <si>
    <t>pit width in direction of flow</t>
  </si>
  <si>
    <t>from push pull tests</t>
  </si>
  <si>
    <t>Unsat zone thickness</t>
  </si>
  <si>
    <t>based on aquifer porosity</t>
  </si>
  <si>
    <t>typical values</t>
  </si>
  <si>
    <t>for TCE</t>
  </si>
  <si>
    <t>conservative guestimate</t>
  </si>
  <si>
    <t>Help: Technical details of model</t>
  </si>
  <si>
    <t>Fbio</t>
  </si>
  <si>
    <t>Source biodecay factor</t>
  </si>
  <si>
    <t>X</t>
  </si>
  <si>
    <t>Y</t>
  </si>
  <si>
    <t>ObjFunc</t>
  </si>
  <si>
    <t>Prior est</t>
  </si>
  <si>
    <t>Date</t>
  </si>
  <si>
    <t>Parameters for calcs</t>
  </si>
  <si>
    <t>Dev^2</t>
  </si>
  <si>
    <t>LCL</t>
  </si>
  <si>
    <t>UCL</t>
  </si>
  <si>
    <t>UCL-m</t>
  </si>
  <si>
    <t>Perturb Factor</t>
  </si>
  <si>
    <t>Yrem</t>
  </si>
  <si>
    <t>Meff</t>
  </si>
  <si>
    <t>qsX</t>
  </si>
  <si>
    <t>JcalX</t>
  </si>
  <si>
    <t>FbioX</t>
  </si>
  <si>
    <t>dkX</t>
  </si>
  <si>
    <t>Name</t>
  </si>
  <si>
    <t>Source biodecay coefficient</t>
  </si>
  <si>
    <t>Equilibrium solubility of DNAPL</t>
  </si>
  <si>
    <t>kg/m3</t>
  </si>
  <si>
    <t>Source length in flow direction</t>
  </si>
  <si>
    <t>Source zone porosity</t>
  </si>
  <si>
    <t>Source zone darcy velocity</t>
  </si>
  <si>
    <t>Vertical vapor dispersivity</t>
  </si>
  <si>
    <t>Source width</t>
  </si>
  <si>
    <t>Release date</t>
  </si>
  <si>
    <t>Darcy velocity in plume</t>
  </si>
  <si>
    <t>Remediation date</t>
  </si>
  <si>
    <t>Ldk</t>
  </si>
  <si>
    <t>Distance to zone2</t>
  </si>
  <si>
    <t>dk1_pre</t>
  </si>
  <si>
    <t>dk2_pre</t>
  </si>
  <si>
    <t>Source biodecay factor, Fbio</t>
  </si>
  <si>
    <t>Relationship between source zone biodecay factor and first order coefficient</t>
  </si>
  <si>
    <t>Aquifer Zone 1</t>
  </si>
  <si>
    <t>Volatilization from groundwater</t>
  </si>
  <si>
    <t>Total plume decay coefficient</t>
  </si>
  <si>
    <t xml:space="preserve"> -</t>
  </si>
  <si>
    <t>Value</t>
  </si>
  <si>
    <t>Mass transfer enhancement factor</t>
  </si>
  <si>
    <t>Source biodecay enhancement factor</t>
  </si>
  <si>
    <t>Dissolved plume decay parameters</t>
  </si>
  <si>
    <t>Calculation from monitoring well data</t>
  </si>
  <si>
    <t>Avg flux of primary contaminant from source zone</t>
  </si>
  <si>
    <t>Avg flux of daughter products from source zone</t>
  </si>
  <si>
    <t>any units</t>
  </si>
  <si>
    <t>Calc</t>
  </si>
  <si>
    <t>Return to Input Sheet</t>
  </si>
  <si>
    <t>a =</t>
  </si>
  <si>
    <t>f =</t>
  </si>
  <si>
    <t>Estimation of Source Biodecay Factor</t>
  </si>
  <si>
    <t>Estimation of Mass Removal Efficiency and Mass Transfer Enhancement Factor</t>
  </si>
  <si>
    <t>Ratio of darcy flux in source zone after remediation to before</t>
  </si>
  <si>
    <t>Ratio of total mass flux from source zone after remediation to before</t>
  </si>
  <si>
    <t>Source depletion factor</t>
  </si>
  <si>
    <t>Percent source reduction due to remediation (optional)</t>
  </si>
  <si>
    <t>Mass removal efficiency</t>
  </si>
  <si>
    <t xml:space="preserve"> %</t>
  </si>
  <si>
    <t>Note: If % source reduction is not known, mass transfer parameters are assumed unaffected by remediation</t>
  </si>
  <si>
    <t>and the "mass transfer enhancement factor" is attributed only to changes in source zone darcy velocity</t>
  </si>
  <si>
    <r>
      <t xml:space="preserve">Note: enter % source reduction only if known with reasonable reliability, </t>
    </r>
    <r>
      <rPr>
        <i/>
        <u/>
        <sz val="10"/>
        <color indexed="10"/>
        <rFont val="Arial"/>
        <family val="2"/>
      </rPr>
      <t>otherwise leave blank</t>
    </r>
    <r>
      <rPr>
        <i/>
        <sz val="10"/>
        <color indexed="10"/>
        <rFont val="Arial"/>
        <family val="2"/>
      </rPr>
      <t xml:space="preserve"> (delete contents)</t>
    </r>
  </si>
  <si>
    <t>Aquifer Zone 2 optional*</t>
  </si>
  <si>
    <t>* If only single aquifer decay zone is desired, input large value for</t>
  </si>
  <si>
    <t>Distance from source to Zone 2*</t>
  </si>
  <si>
    <t xml:space="preserve">  "Distance from source to zone 2" and disregard zone 2 parameters</t>
  </si>
  <si>
    <t>Parameter Summary</t>
  </si>
  <si>
    <t>Zone1</t>
  </si>
  <si>
    <t>Zone2</t>
  </si>
  <si>
    <t>X (m)</t>
  </si>
  <si>
    <t>Y (m)</t>
  </si>
  <si>
    <t>Date (yr)</t>
  </si>
  <si>
    <r>
      <t>C 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g/L)</t>
    </r>
  </si>
  <si>
    <t>Calibration date</t>
  </si>
  <si>
    <t>Porosity</t>
  </si>
  <si>
    <t>Pre-remediation source decay fraction</t>
  </si>
  <si>
    <t>Pre-remediation zone1 plume decay coef.</t>
  </si>
  <si>
    <t>Pre-remediation zone2 plume decay coef.</t>
  </si>
  <si>
    <t>Zone1 plume decay enhancement factor</t>
  </si>
  <si>
    <t>Zone2 plume decay enhancement factor</t>
  </si>
  <si>
    <t>Remediation mass transfer enhancement</t>
  </si>
  <si>
    <t>Remediation source biodecay enhancement</t>
  </si>
  <si>
    <t>yr</t>
  </si>
  <si>
    <t>Parameter summary*</t>
  </si>
  <si>
    <t>For calcs this sheet</t>
  </si>
  <si>
    <t>From "Input" sheet</t>
  </si>
  <si>
    <t>* Note: modify parameter values in column K or in "Input" worksheet</t>
  </si>
  <si>
    <r>
      <t xml:space="preserve">  Dissolved Phase Contaminant Concentrations at Specified Date, </t>
    </r>
    <r>
      <rPr>
        <b/>
        <sz val="12"/>
        <color indexed="10"/>
        <rFont val="Symbol"/>
        <family val="1"/>
        <charset val="2"/>
      </rPr>
      <t>m</t>
    </r>
    <r>
      <rPr>
        <b/>
        <sz val="12"/>
        <color indexed="10"/>
        <rFont val="Arial"/>
        <family val="2"/>
      </rPr>
      <t>g/L</t>
    </r>
  </si>
  <si>
    <t>Units</t>
  </si>
  <si>
    <r>
      <t xml:space="preserve">(enter desired concentration values in </t>
    </r>
    <r>
      <rPr>
        <sz val="9"/>
        <rFont val="Symbol"/>
        <family val="1"/>
        <charset val="2"/>
      </rPr>
      <t>m</t>
    </r>
    <r>
      <rPr>
        <sz val="9"/>
        <rFont val="Arial"/>
        <family val="2"/>
      </rPr>
      <t>g/L)</t>
    </r>
  </si>
  <si>
    <t>Darcy velocity</t>
  </si>
  <si>
    <t>Instructions: Complete/edit ALL light yellow fields except as noted*</t>
  </si>
  <si>
    <t>dk1</t>
  </si>
  <si>
    <t>dk2</t>
  </si>
  <si>
    <t>dk1X</t>
  </si>
  <si>
    <t>dk2X</t>
  </si>
  <si>
    <t>m-LCL</t>
  </si>
  <si>
    <t xml:space="preserve"> ==&gt;&gt;</t>
  </si>
  <si>
    <t>perturbed parameter</t>
  </si>
  <si>
    <t>***** Sensitivity Analysis for Fixed Parameters (MODIFY IF ORDER OF FIXED PARAMETERS IS CHANGED!!) *****</t>
  </si>
  <si>
    <t>SUM</t>
  </si>
  <si>
    <t xml:space="preserve">  Inverse Solution with Prior Information and Analysis of Parameter and Prediction Uncertainty</t>
  </si>
  <si>
    <t>Fixed Model Parameters</t>
  </si>
  <si>
    <t xml:space="preserve">   Total Penalty Function</t>
  </si>
  <si>
    <t xml:space="preserve">   Penalty function % of Obj Func </t>
  </si>
  <si>
    <t xml:space="preserve">   SSQ</t>
  </si>
  <si>
    <t xml:space="preserve">   Objective Function</t>
  </si>
  <si>
    <t xml:space="preserve">   Number of observations</t>
  </si>
  <si>
    <t xml:space="preserve">   Number of fitted parameters</t>
  </si>
  <si>
    <t>Penalty Term</t>
  </si>
  <si>
    <t>Graph Parameters</t>
  </si>
  <si>
    <t>Hold for Reset</t>
  </si>
  <si>
    <t>Fitted Model Parameters and Covariance Matrix</t>
  </si>
  <si>
    <t>Observations for Regression, Input for Forward Predictions and Confidence Limits</t>
  </si>
  <si>
    <t>Inversion Results</t>
  </si>
  <si>
    <t>Variables for Inverse Solution</t>
  </si>
  <si>
    <t>Final Estimate</t>
  </si>
  <si>
    <t xml:space="preserve">   Degress of freedom</t>
  </si>
  <si>
    <t>DF count</t>
  </si>
  <si>
    <t>"Input"</t>
  </si>
  <si>
    <t>S ln P</t>
  </si>
  <si>
    <t>* Note: modify parameter values in yellow column or in "Input" worksheet</t>
  </si>
  <si>
    <t>Notes:</t>
  </si>
  <si>
    <t xml:space="preserve"> </t>
  </si>
  <si>
    <t>half of plume length</t>
  </si>
  <si>
    <t>calibrate</t>
  </si>
  <si>
    <t>compute from Fbio sheet</t>
  </si>
  <si>
    <t>Written by: Jack C Parker, University of Tennessee</t>
  </si>
  <si>
    <t>guestimate</t>
  </si>
  <si>
    <t>Data for External Plotting               C              X               Y</t>
  </si>
  <si>
    <t>x</t>
  </si>
  <si>
    <t>parameter index</t>
  </si>
  <si>
    <t>parameter name</t>
  </si>
  <si>
    <t>FIT</t>
  </si>
  <si>
    <t>PRIOR</t>
  </si>
  <si>
    <t>exact</t>
  </si>
  <si>
    <t>Remediation mass removal</t>
  </si>
  <si>
    <t>kg</t>
  </si>
  <si>
    <t>dMrem</t>
  </si>
  <si>
    <t>Remediation source flux ratio</t>
  </si>
  <si>
    <t>Rjrem</t>
  </si>
  <si>
    <t>Source remediation mass removed</t>
  </si>
  <si>
    <t>Miscellaneous Results</t>
  </si>
  <si>
    <t xml:space="preserve">  Mass before remediation, kg</t>
  </si>
  <si>
    <t xml:space="preserve">  Mass after remediation, kg</t>
  </si>
  <si>
    <t xml:space="preserve">  Fraction of mass recovered</t>
  </si>
  <si>
    <t>Sln P</t>
  </si>
  <si>
    <t>Fjrem</t>
  </si>
  <si>
    <t>Source flux  after remediation</t>
  </si>
  <si>
    <t>Source flux  before remediation</t>
  </si>
  <si>
    <t>Current source flux</t>
  </si>
  <si>
    <t>Current mass flux at right boundary</t>
  </si>
  <si>
    <t>calibrate to plume</t>
  </si>
  <si>
    <t>calibrate (need time series)</t>
  </si>
  <si>
    <t>K=25 ft/d, grad = (210-160)ft * 0.3 / 2100 m</t>
  </si>
  <si>
    <t>range 0.2-0.4</t>
  </si>
  <si>
    <t>range from ~20 m near source to 0 at stream</t>
  </si>
  <si>
    <t>waste pit construction</t>
  </si>
  <si>
    <t>calibrate to plume (10 kg/yr = 0.027 kg/d as first est)</t>
  </si>
  <si>
    <t>from met data</t>
  </si>
  <si>
    <t>varies from 20 ft near source to 0 at creek</t>
  </si>
  <si>
    <t>Calibrated parameters</t>
  </si>
  <si>
    <t>Fixed parameters</t>
  </si>
  <si>
    <t>y</t>
  </si>
  <si>
    <t>Coordinate rotation, clockwise radians</t>
  </si>
  <si>
    <t>Rads</t>
  </si>
  <si>
    <t>Model</t>
  </si>
  <si>
    <t>Observed</t>
  </si>
  <si>
    <t>Count</t>
  </si>
  <si>
    <t>SSQ for Input Variables</t>
  </si>
  <si>
    <t>Averages for Input Variables</t>
  </si>
  <si>
    <t>Error Multiplier</t>
  </si>
  <si>
    <t>t</t>
  </si>
  <si>
    <t>dt2</t>
  </si>
  <si>
    <t>dx2</t>
  </si>
  <si>
    <t>dy2</t>
  </si>
  <si>
    <t xml:space="preserve">Calculation of regression error multipler </t>
  </si>
  <si>
    <t>ln ratio</t>
  </si>
  <si>
    <r>
      <t>t</t>
    </r>
    <r>
      <rPr>
        <vertAlign val="subscript"/>
        <sz val="10"/>
        <rFont val="Arial"/>
        <family val="2"/>
      </rPr>
      <t>rem</t>
    </r>
  </si>
  <si>
    <r>
      <t>L</t>
    </r>
    <r>
      <rPr>
        <vertAlign val="subscript"/>
        <sz val="10"/>
        <rFont val="Arial"/>
        <family val="2"/>
      </rPr>
      <t>12</t>
    </r>
  </si>
  <si>
    <t>f</t>
  </si>
  <si>
    <r>
      <t>t</t>
    </r>
    <r>
      <rPr>
        <vertAlign val="subscript"/>
        <sz val="10"/>
        <rFont val="Arial"/>
        <family val="2"/>
      </rPr>
      <t>cal</t>
    </r>
  </si>
  <si>
    <r>
      <t>L</t>
    </r>
    <r>
      <rPr>
        <vertAlign val="subscript"/>
        <sz val="10"/>
        <rFont val="Arial"/>
        <family val="2"/>
      </rPr>
      <t>z</t>
    </r>
  </si>
  <si>
    <r>
      <t>L</t>
    </r>
    <r>
      <rPr>
        <vertAlign val="subscript"/>
        <sz val="10"/>
        <rFont val="Arial"/>
        <family val="2"/>
      </rPr>
      <t>y</t>
    </r>
  </si>
  <si>
    <r>
      <t>J</t>
    </r>
    <r>
      <rPr>
        <vertAlign val="subscript"/>
        <sz val="10"/>
        <rFont val="Arial"/>
        <family val="2"/>
      </rPr>
      <t>cal</t>
    </r>
  </si>
  <si>
    <r>
      <t>M</t>
    </r>
    <r>
      <rPr>
        <vertAlign val="subscript"/>
        <sz val="10"/>
        <rFont val="Arial"/>
        <family val="2"/>
      </rPr>
      <t>cal</t>
    </r>
  </si>
  <si>
    <t>b</t>
  </si>
  <si>
    <r>
      <t>q</t>
    </r>
    <r>
      <rPr>
        <vertAlign val="subscript"/>
        <sz val="10"/>
        <rFont val="Arial"/>
        <family val="2"/>
      </rPr>
      <t xml:space="preserve">w </t>
    </r>
  </si>
  <si>
    <r>
      <t>A</t>
    </r>
    <r>
      <rPr>
        <vertAlign val="subscript"/>
        <sz val="10"/>
        <rFont val="Arial"/>
        <family val="2"/>
      </rPr>
      <t>L</t>
    </r>
  </si>
  <si>
    <r>
      <t>A</t>
    </r>
    <r>
      <rPr>
        <vertAlign val="subscript"/>
        <sz val="10"/>
        <rFont val="Arial"/>
        <family val="2"/>
      </rPr>
      <t>T</t>
    </r>
  </si>
  <si>
    <r>
      <t>g</t>
    </r>
    <r>
      <rPr>
        <vertAlign val="subscript"/>
        <sz val="10"/>
        <rFont val="Arial"/>
        <family val="2"/>
      </rPr>
      <t>T1</t>
    </r>
  </si>
  <si>
    <r>
      <t>g</t>
    </r>
    <r>
      <rPr>
        <vertAlign val="subscript"/>
        <sz val="10"/>
        <rFont val="Arial"/>
        <family val="2"/>
      </rPr>
      <t>T2</t>
    </r>
  </si>
  <si>
    <r>
      <t>f</t>
    </r>
    <r>
      <rPr>
        <vertAlign val="subscript"/>
        <sz val="10"/>
        <rFont val="Arial"/>
        <family val="2"/>
      </rPr>
      <t>mt</t>
    </r>
  </si>
  <si>
    <r>
      <t>D</t>
    </r>
    <r>
      <rPr>
        <sz val="10"/>
        <rFont val="Arial"/>
        <family val="2"/>
      </rPr>
      <t>M</t>
    </r>
    <r>
      <rPr>
        <vertAlign val="subscript"/>
        <sz val="10"/>
        <rFont val="Arial"/>
        <family val="2"/>
      </rPr>
      <t>rem</t>
    </r>
  </si>
  <si>
    <r>
      <t>Rotate</t>
    </r>
    <r>
      <rPr>
        <sz val="10"/>
        <rFont val="Symbol"/>
        <family val="1"/>
        <charset val="2"/>
      </rPr>
      <t xml:space="preserve"> a</t>
    </r>
  </si>
  <si>
    <r>
      <t>t</t>
    </r>
    <r>
      <rPr>
        <vertAlign val="subscript"/>
        <sz val="10"/>
        <rFont val="Arial"/>
        <family val="2"/>
      </rPr>
      <t>0</t>
    </r>
  </si>
  <si>
    <t>Log P?</t>
  </si>
  <si>
    <t>Estimated P or Ln P</t>
  </si>
  <si>
    <t xml:space="preserve">  Source depletion date w/ NA</t>
  </si>
  <si>
    <r>
      <t xml:space="preserve">  Source mass at t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, kg</t>
    </r>
  </si>
  <si>
    <t>fmt</t>
  </si>
  <si>
    <t xml:space="preserve">x=200, taubar=3.3, integrate from tau=0 to 13 </t>
  </si>
  <si>
    <t xml:space="preserve">x=400, taubar=6.6, integrate from tau=2 to 17 </t>
  </si>
  <si>
    <t xml:space="preserve">x=600, taubar=9.8, integrate from tau=3.5 to 22 </t>
  </si>
  <si>
    <t>x=800, taubar=13.1, integrate from tau=5.5 to 25.5</t>
  </si>
  <si>
    <t>x=1000, taubar=16.4, integrate from tau=8 to 29</t>
  </si>
  <si>
    <t>MW1</t>
  </si>
  <si>
    <t>MW2</t>
  </si>
  <si>
    <t>MW3</t>
  </si>
  <si>
    <t>MW4</t>
  </si>
  <si>
    <t>MW5</t>
  </si>
  <si>
    <t>MW6</t>
  </si>
  <si>
    <t>MW7</t>
  </si>
  <si>
    <t>MW8</t>
  </si>
  <si>
    <t>MW9</t>
  </si>
  <si>
    <t>MW10</t>
  </si>
  <si>
    <t>MW11</t>
  </si>
  <si>
    <t>MW12</t>
  </si>
  <si>
    <t>MW13</t>
  </si>
  <si>
    <t>MW14</t>
  </si>
  <si>
    <t>MW15</t>
  </si>
  <si>
    <t>predict</t>
  </si>
  <si>
    <t>rand</t>
  </si>
  <si>
    <t>mult</t>
  </si>
  <si>
    <t>C + error</t>
  </si>
  <si>
    <t>dev</t>
  </si>
  <si>
    <t>S ln C</t>
  </si>
  <si>
    <t xml:space="preserve">  Remediation flux ratio</t>
  </si>
  <si>
    <r>
      <t>F</t>
    </r>
    <r>
      <rPr>
        <vertAlign val="subscript"/>
        <sz val="10"/>
        <rFont val="Arial"/>
        <family val="2"/>
      </rPr>
      <t>bio-post</t>
    </r>
  </si>
  <si>
    <r>
      <t>F</t>
    </r>
    <r>
      <rPr>
        <vertAlign val="subscript"/>
        <sz val="10"/>
        <rFont val="Arial"/>
        <family val="2"/>
      </rPr>
      <t>bio-pre</t>
    </r>
  </si>
  <si>
    <r>
      <t xml:space="preserve">  Source mass at </t>
    </r>
    <r>
      <rPr>
        <u/>
        <sz val="10"/>
        <rFont val="Arial"/>
        <family val="2"/>
      </rPr>
      <t>date</t>
    </r>
    <r>
      <rPr>
        <sz val="10"/>
        <rFont val="Arial"/>
        <family val="2"/>
      </rPr>
      <t>, kg</t>
    </r>
  </si>
  <si>
    <t>c1</t>
  </si>
  <si>
    <t>c2</t>
  </si>
  <si>
    <t>mean ln</t>
  </si>
  <si>
    <t>exp(mean)</t>
  </si>
  <si>
    <t>sd ln of M</t>
  </si>
  <si>
    <t>Flux ratio est</t>
  </si>
  <si>
    <t>flux est</t>
  </si>
  <si>
    <t>Fmt</t>
  </si>
  <si>
    <t>Post-remediation source decay fraction</t>
  </si>
  <si>
    <t>Fbio0</t>
  </si>
  <si>
    <t>Fbiof</t>
  </si>
  <si>
    <t xml:space="preserve">  Log-transform model output?</t>
  </si>
  <si>
    <t xml:space="preserve">  t-value for confidence limits</t>
  </si>
  <si>
    <t xml:space="preserve">  Probability level for confidence limits</t>
  </si>
  <si>
    <t>Fbio f</t>
  </si>
  <si>
    <t>Fbio 0</t>
  </si>
  <si>
    <t>Post-remed source biodecay</t>
  </si>
  <si>
    <t>Zone 2 plume decay coef.</t>
  </si>
  <si>
    <t>Zone 1 plume decay coef.</t>
  </si>
  <si>
    <t>StDev</t>
  </si>
  <si>
    <t>Prior     StDev</t>
  </si>
  <si>
    <r>
      <t xml:space="preserve">  Source flux at </t>
    </r>
    <r>
      <rPr>
        <u/>
        <sz val="10"/>
        <rFont val="Arial"/>
        <family val="2"/>
      </rPr>
      <t>date</t>
    </r>
    <r>
      <rPr>
        <sz val="10"/>
        <rFont val="Arial"/>
        <family val="2"/>
      </rPr>
      <t>, kg/d</t>
    </r>
  </si>
  <si>
    <r>
      <t xml:space="preserve">  </t>
    </r>
    <r>
      <rPr>
        <u/>
        <sz val="10"/>
        <rFont val="Arial"/>
        <family val="2"/>
      </rPr>
      <t>Date</t>
    </r>
    <r>
      <rPr>
        <sz val="10"/>
        <rFont val="Arial"/>
        <family val="2"/>
      </rPr>
      <t xml:space="preserve"> for mass &amp; flux calc</t>
    </r>
  </si>
  <si>
    <t>Minimum allowed</t>
  </si>
  <si>
    <t>Correct for back-dispersion?</t>
  </si>
  <si>
    <t>Back Dispersion Correction</t>
  </si>
  <si>
    <t>Resident Concentrations</t>
  </si>
  <si>
    <t>this sheet</t>
  </si>
  <si>
    <t>Used for calcs in</t>
  </si>
  <si>
    <t>Flux Concentrations</t>
  </si>
  <si>
    <t>flux</t>
  </si>
  <si>
    <t>Resident of flux concentration?</t>
  </si>
  <si>
    <t>Std dev</t>
  </si>
  <si>
    <t>Instructions: Complete/edit light yellow fields; pink fields are final results; grey fields are intermediate output</t>
  </si>
  <si>
    <t xml:space="preserve">   Std deviation for C data</t>
  </si>
  <si>
    <t>MW16</t>
  </si>
  <si>
    <t xml:space="preserve">  Number of tails for proability (1 or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</si>
</sst>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0"/>
    <numFmt numFmtId="165" formatCode="0.0000"/>
    <numFmt numFmtId="166" formatCode="0.000"/>
    <numFmt numFmtId="167" formatCode="0.0"/>
    <numFmt numFmtId="168" formatCode="0.000E+00"/>
    <numFmt numFmtId="169" formatCode="0.0E+00"/>
    <numFmt numFmtId="170" formatCode="0E+00"/>
  </numFmts>
  <fonts count="3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color indexed="55"/>
      <name val="Arial"/>
      <family val="2"/>
    </font>
    <font>
      <i/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b/>
      <sz val="10"/>
      <color indexed="48"/>
      <name val="Arial"/>
      <family val="2"/>
    </font>
    <font>
      <sz val="10"/>
      <color indexed="48"/>
      <name val="Arial"/>
      <family val="2"/>
    </font>
    <font>
      <i/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9"/>
      <color indexed="55"/>
      <name val="Arial"/>
      <family val="2"/>
    </font>
    <font>
      <b/>
      <sz val="12"/>
      <color indexed="10"/>
      <name val="Arial"/>
      <family val="2"/>
    </font>
    <font>
      <sz val="10"/>
      <color indexed="23"/>
      <name val="Arial"/>
      <family val="2"/>
    </font>
    <font>
      <b/>
      <sz val="10"/>
      <name val="Arial"/>
      <family val="2"/>
    </font>
    <font>
      <b/>
      <i/>
      <sz val="10"/>
      <color indexed="10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sz val="10"/>
      <color indexed="22"/>
      <name val="Arial"/>
      <family val="2"/>
    </font>
    <font>
      <u/>
      <sz val="10"/>
      <name val="Arial"/>
      <family val="2"/>
    </font>
    <font>
      <b/>
      <sz val="11"/>
      <name val="Arial"/>
      <family val="2"/>
    </font>
    <font>
      <b/>
      <u/>
      <sz val="10"/>
      <color indexed="12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name val="Symbol"/>
      <family val="1"/>
      <charset val="2"/>
    </font>
    <font>
      <b/>
      <sz val="12"/>
      <color indexed="10"/>
      <name val="Symbol"/>
      <family val="1"/>
      <charset val="2"/>
    </font>
    <font>
      <sz val="9"/>
      <name val="Symbol"/>
      <family val="1"/>
      <charset val="2"/>
    </font>
    <font>
      <sz val="10"/>
      <color indexed="12"/>
      <name val="Arial"/>
      <family val="2"/>
    </font>
    <font>
      <b/>
      <sz val="13"/>
      <color indexed="10"/>
      <name val="Arial"/>
      <family val="2"/>
    </font>
    <font>
      <sz val="5"/>
      <color indexed="48"/>
      <name val="Arial"/>
      <family val="2"/>
    </font>
    <font>
      <sz val="5"/>
      <name val="Arial"/>
      <family val="2"/>
    </font>
    <font>
      <vertAlign val="subscript"/>
      <sz val="10"/>
      <name val="Arial"/>
      <family val="2"/>
    </font>
    <font>
      <sz val="11"/>
      <name val="Symbol"/>
      <family val="1"/>
      <charset val="2"/>
    </font>
    <font>
      <sz val="5"/>
      <color indexed="48"/>
      <name val="Arial"/>
      <family val="2"/>
    </font>
    <font>
      <sz val="10"/>
      <color indexed="4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2">
    <xf numFmtId="0" fontId="0" fillId="0" borderId="0" applyBorder="0"/>
    <xf numFmtId="0" fontId="10" fillId="0" borderId="0" applyNumberFormat="0" applyFill="0" applyBorder="0" applyAlignment="0" applyProtection="0">
      <alignment vertical="top"/>
      <protection locked="0"/>
    </xf>
  </cellStyleXfs>
  <cellXfs count="326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/>
    <xf numFmtId="0" fontId="3" fillId="2" borderId="0" xfId="0" applyFont="1" applyFill="1"/>
    <xf numFmtId="0" fontId="3" fillId="2" borderId="0" xfId="0" applyFont="1" applyFill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 wrapText="1"/>
    </xf>
    <xf numFmtId="0" fontId="3" fillId="2" borderId="0" xfId="0" applyFont="1" applyFill="1" applyAlignment="1">
      <alignment horizontal="center"/>
    </xf>
    <xf numFmtId="0" fontId="0" fillId="2" borderId="0" xfId="0" applyFill="1" applyBorder="1"/>
    <xf numFmtId="2" fontId="0" fillId="3" borderId="2" xfId="0" applyNumberFormat="1" applyFill="1" applyBorder="1" applyAlignment="1">
      <alignment horizontal="center"/>
    </xf>
    <xf numFmtId="166" fontId="3" fillId="2" borderId="0" xfId="0" applyNumberFormat="1" applyFont="1" applyFill="1" applyAlignment="1">
      <alignment horizontal="center"/>
    </xf>
    <xf numFmtId="0" fontId="0" fillId="3" borderId="2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7" fontId="3" fillId="2" borderId="0" xfId="0" applyNumberFormat="1" applyFont="1" applyFill="1" applyAlignment="1">
      <alignment horizontal="center"/>
    </xf>
    <xf numFmtId="0" fontId="3" fillId="2" borderId="0" xfId="0" applyFont="1" applyFill="1" applyBorder="1"/>
    <xf numFmtId="2" fontId="3" fillId="2" borderId="0" xfId="0" applyNumberFormat="1" applyFont="1" applyFill="1" applyBorder="1" applyAlignment="1">
      <alignment horizontal="center"/>
    </xf>
    <xf numFmtId="167" fontId="3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6" fillId="2" borderId="0" xfId="0" applyFont="1" applyFill="1" applyBorder="1"/>
    <xf numFmtId="0" fontId="6" fillId="2" borderId="0" xfId="0" applyFont="1" applyFill="1" applyBorder="1" applyAlignment="1">
      <alignment horizontal="right"/>
    </xf>
    <xf numFmtId="0" fontId="7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/>
    <xf numFmtId="0" fontId="0" fillId="2" borderId="0" xfId="0" applyFill="1" applyBorder="1" applyAlignment="1"/>
    <xf numFmtId="0" fontId="0" fillId="2" borderId="0" xfId="0" applyFill="1" applyBorder="1" applyAlignment="1">
      <alignment horizontal="left"/>
    </xf>
    <xf numFmtId="1" fontId="0" fillId="2" borderId="0" xfId="0" applyNumberFormat="1" applyFill="1" applyBorder="1" applyAlignment="1">
      <alignment horizontal="center"/>
    </xf>
    <xf numFmtId="166" fontId="3" fillId="2" borderId="0" xfId="0" applyNumberFormat="1" applyFont="1" applyFill="1" applyBorder="1" applyAlignment="1">
      <alignment horizontal="center"/>
    </xf>
    <xf numFmtId="0" fontId="1" fillId="2" borderId="0" xfId="0" applyFont="1" applyFill="1" applyBorder="1"/>
    <xf numFmtId="0" fontId="0" fillId="2" borderId="3" xfId="0" applyFill="1" applyBorder="1"/>
    <xf numFmtId="1" fontId="3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wrapText="1"/>
    </xf>
    <xf numFmtId="0" fontId="11" fillId="2" borderId="0" xfId="0" applyFont="1" applyFill="1"/>
    <xf numFmtId="11" fontId="0" fillId="2" borderId="0" xfId="0" applyNumberFormat="1" applyFill="1" applyAlignment="1">
      <alignment horizontal="center"/>
    </xf>
    <xf numFmtId="2" fontId="12" fillId="3" borderId="2" xfId="0" applyNumberFormat="1" applyFont="1" applyFill="1" applyBorder="1" applyAlignment="1">
      <alignment horizontal="center"/>
    </xf>
    <xf numFmtId="166" fontId="13" fillId="3" borderId="2" xfId="0" applyNumberFormat="1" applyFont="1" applyFill="1" applyBorder="1" applyAlignment="1">
      <alignment horizontal="center"/>
    </xf>
    <xf numFmtId="169" fontId="3" fillId="2" borderId="0" xfId="0" applyNumberFormat="1" applyFont="1" applyFill="1" applyAlignment="1">
      <alignment horizontal="center"/>
    </xf>
    <xf numFmtId="11" fontId="3" fillId="2" borderId="0" xfId="0" applyNumberFormat="1" applyFont="1" applyFill="1" applyAlignment="1">
      <alignment horizontal="center"/>
    </xf>
    <xf numFmtId="0" fontId="0" fillId="2" borderId="1" xfId="0" applyFill="1" applyBorder="1" applyAlignment="1">
      <alignment horizontal="center"/>
    </xf>
    <xf numFmtId="0" fontId="14" fillId="2" borderId="0" xfId="0" applyFont="1" applyFill="1" applyBorder="1" applyAlignment="1">
      <alignment horizontal="center" wrapText="1"/>
    </xf>
    <xf numFmtId="166" fontId="14" fillId="2" borderId="0" xfId="0" applyNumberFormat="1" applyFont="1" applyFill="1" applyBorder="1" applyAlignment="1">
      <alignment horizontal="center"/>
    </xf>
    <xf numFmtId="2" fontId="14" fillId="2" borderId="0" xfId="0" applyNumberFormat="1" applyFont="1" applyFill="1" applyBorder="1" applyAlignment="1">
      <alignment horizontal="center"/>
    </xf>
    <xf numFmtId="1" fontId="14" fillId="2" borderId="0" xfId="0" applyNumberFormat="1" applyFont="1" applyFill="1" applyBorder="1" applyAlignment="1">
      <alignment horizontal="center" wrapText="1"/>
    </xf>
    <xf numFmtId="2" fontId="14" fillId="2" borderId="0" xfId="0" applyNumberFormat="1" applyFont="1" applyFill="1" applyBorder="1" applyAlignment="1">
      <alignment horizontal="center" wrapText="1"/>
    </xf>
    <xf numFmtId="0" fontId="3" fillId="2" borderId="3" xfId="0" applyFont="1" applyFill="1" applyBorder="1"/>
    <xf numFmtId="0" fontId="15" fillId="2" borderId="0" xfId="0" applyFont="1" applyFill="1" applyBorder="1" applyAlignment="1">
      <alignment horizontal="left"/>
    </xf>
    <xf numFmtId="0" fontId="15" fillId="2" borderId="0" xfId="0" applyFont="1" applyFill="1"/>
    <xf numFmtId="0" fontId="10" fillId="2" borderId="1" xfId="1" applyFill="1" applyBorder="1" applyAlignment="1" applyProtection="1">
      <alignment horizontal="center"/>
    </xf>
    <xf numFmtId="0" fontId="10" fillId="2" borderId="0" xfId="1" applyFill="1" applyAlignment="1" applyProtection="1"/>
    <xf numFmtId="165" fontId="0" fillId="3" borderId="2" xfId="0" applyNumberForma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66" fontId="1" fillId="2" borderId="0" xfId="0" applyNumberFormat="1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165" fontId="1" fillId="2" borderId="0" xfId="0" applyNumberFormat="1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167" fontId="1" fillId="2" borderId="0" xfId="0" applyNumberFormat="1" applyFont="1" applyFill="1" applyAlignment="1">
      <alignment horizontal="center"/>
    </xf>
    <xf numFmtId="0" fontId="4" fillId="2" borderId="0" xfId="0" applyFont="1" applyFill="1" applyAlignment="1"/>
    <xf numFmtId="0" fontId="4" fillId="2" borderId="0" xfId="0" applyFont="1" applyFill="1" applyAlignment="1">
      <alignment wrapText="1"/>
    </xf>
    <xf numFmtId="0" fontId="17" fillId="2" borderId="0" xfId="0" applyFont="1" applyFill="1"/>
    <xf numFmtId="0" fontId="18" fillId="0" borderId="0" xfId="0" applyFont="1"/>
    <xf numFmtId="0" fontId="5" fillId="2" borderId="0" xfId="0" applyFont="1" applyFill="1"/>
    <xf numFmtId="164" fontId="14" fillId="2" borderId="0" xfId="0" applyNumberFormat="1" applyFont="1" applyFill="1" applyBorder="1" applyAlignment="1">
      <alignment horizontal="center"/>
    </xf>
    <xf numFmtId="0" fontId="19" fillId="2" borderId="0" xfId="0" applyFont="1" applyFill="1"/>
    <xf numFmtId="2" fontId="3" fillId="2" borderId="0" xfId="0" applyNumberFormat="1" applyFont="1" applyFill="1" applyBorder="1" applyAlignment="1">
      <alignment horizontal="center" wrapText="1"/>
    </xf>
    <xf numFmtId="0" fontId="5" fillId="2" borderId="0" xfId="0" applyFont="1" applyFill="1" applyAlignment="1">
      <alignment horizontal="right"/>
    </xf>
    <xf numFmtId="0" fontId="5" fillId="0" borderId="0" xfId="0" applyFont="1"/>
    <xf numFmtId="0" fontId="16" fillId="2" borderId="0" xfId="0" applyFont="1" applyFill="1"/>
    <xf numFmtId="1" fontId="0" fillId="2" borderId="0" xfId="0" applyNumberFormat="1" applyFill="1" applyAlignment="1">
      <alignment horizontal="center"/>
    </xf>
    <xf numFmtId="166" fontId="0" fillId="2" borderId="0" xfId="0" applyNumberFormat="1" applyFill="1" applyAlignment="1">
      <alignment horizontal="center"/>
    </xf>
    <xf numFmtId="2" fontId="20" fillId="3" borderId="0" xfId="0" applyNumberFormat="1" applyFont="1" applyFill="1" applyBorder="1" applyAlignment="1">
      <alignment horizontal="center" wrapText="1"/>
    </xf>
    <xf numFmtId="166" fontId="1" fillId="2" borderId="0" xfId="0" applyNumberFormat="1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166" fontId="3" fillId="2" borderId="0" xfId="0" applyNumberFormat="1" applyFont="1" applyFill="1" applyBorder="1" applyAlignment="1">
      <alignment horizontal="center" wrapText="1"/>
    </xf>
    <xf numFmtId="0" fontId="1" fillId="3" borderId="0" xfId="0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right"/>
    </xf>
    <xf numFmtId="165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left"/>
    </xf>
    <xf numFmtId="2" fontId="20" fillId="3" borderId="0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left"/>
    </xf>
    <xf numFmtId="0" fontId="0" fillId="3" borderId="0" xfId="0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0" fontId="0" fillId="2" borderId="3" xfId="0" applyFill="1" applyBorder="1" applyAlignment="1">
      <alignment horizontal="center" wrapText="1"/>
    </xf>
    <xf numFmtId="11" fontId="0" fillId="2" borderId="0" xfId="0" applyNumberFormat="1" applyFill="1"/>
    <xf numFmtId="0" fontId="11" fillId="2" borderId="0" xfId="0" applyFont="1" applyFill="1" applyAlignment="1">
      <alignment horizontal="center"/>
    </xf>
    <xf numFmtId="2" fontId="11" fillId="2" borderId="0" xfId="0" applyNumberFormat="1" applyFont="1" applyFill="1" applyAlignment="1">
      <alignment horizontal="center"/>
    </xf>
    <xf numFmtId="169" fontId="0" fillId="2" borderId="0" xfId="0" applyNumberFormat="1" applyFill="1" applyAlignment="1">
      <alignment horizontal="center"/>
    </xf>
    <xf numFmtId="165" fontId="1" fillId="2" borderId="0" xfId="0" applyNumberFormat="1" applyFont="1" applyFill="1" applyBorder="1" applyAlignment="1">
      <alignment horizontal="center"/>
    </xf>
    <xf numFmtId="169" fontId="0" fillId="2" borderId="0" xfId="0" applyNumberFormat="1" applyFill="1" applyBorder="1" applyAlignment="1">
      <alignment horizontal="center"/>
    </xf>
    <xf numFmtId="0" fontId="21" fillId="2" borderId="0" xfId="0" applyFont="1" applyFill="1" applyAlignment="1">
      <alignment horizontal="right"/>
    </xf>
    <xf numFmtId="2" fontId="0" fillId="2" borderId="0" xfId="0" applyNumberFormat="1" applyFill="1" applyBorder="1" applyAlignment="1">
      <alignment horizontal="center"/>
    </xf>
    <xf numFmtId="1" fontId="0" fillId="2" borderId="0" xfId="0" applyNumberFormat="1" applyFill="1"/>
    <xf numFmtId="2" fontId="1" fillId="3" borderId="0" xfId="0" applyNumberFormat="1" applyFont="1" applyFill="1" applyBorder="1" applyAlignment="1">
      <alignment horizontal="center"/>
    </xf>
    <xf numFmtId="2" fontId="1" fillId="3" borderId="0" xfId="0" applyNumberFormat="1" applyFont="1" applyFill="1" applyAlignment="1">
      <alignment horizontal="center"/>
    </xf>
    <xf numFmtId="0" fontId="11" fillId="2" borderId="0" xfId="0" applyFont="1" applyFill="1" applyBorder="1" applyAlignment="1">
      <alignment horizontal="center"/>
    </xf>
    <xf numFmtId="1" fontId="11" fillId="2" borderId="0" xfId="0" applyNumberFormat="1" applyFont="1" applyFill="1" applyBorder="1" applyAlignment="1">
      <alignment horizontal="center"/>
    </xf>
    <xf numFmtId="0" fontId="13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left"/>
    </xf>
    <xf numFmtId="0" fontId="1" fillId="2" borderId="0" xfId="0" applyFont="1" applyFill="1"/>
    <xf numFmtId="164" fontId="3" fillId="2" borderId="0" xfId="0" applyNumberFormat="1" applyFont="1" applyFill="1" applyAlignment="1">
      <alignment horizontal="center"/>
    </xf>
    <xf numFmtId="0" fontId="13" fillId="2" borderId="0" xfId="0" applyFont="1" applyFill="1" applyAlignment="1">
      <alignment wrapText="1"/>
    </xf>
    <xf numFmtId="165" fontId="0" fillId="2" borderId="0" xfId="0" applyNumberFormat="1" applyFill="1" applyBorder="1" applyAlignment="1">
      <alignment horizontal="center"/>
    </xf>
    <xf numFmtId="1" fontId="11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22" fillId="2" borderId="0" xfId="0" applyFont="1" applyFill="1"/>
    <xf numFmtId="0" fontId="16" fillId="2" borderId="0" xfId="0" applyFont="1" applyFill="1" applyAlignment="1">
      <alignment horizontal="center"/>
    </xf>
    <xf numFmtId="1" fontId="13" fillId="3" borderId="2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 wrapText="1"/>
    </xf>
    <xf numFmtId="167" fontId="0" fillId="2" borderId="0" xfId="0" applyNumberFormat="1" applyFill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0" fontId="25" fillId="2" borderId="0" xfId="1" applyFont="1" applyFill="1" applyBorder="1" applyAlignment="1" applyProtection="1">
      <alignment horizontal="center"/>
    </xf>
    <xf numFmtId="0" fontId="0" fillId="5" borderId="2" xfId="0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0" fontId="4" fillId="2" borderId="0" xfId="0" applyFont="1" applyFill="1"/>
    <xf numFmtId="1" fontId="8" fillId="2" borderId="0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23" fillId="2" borderId="0" xfId="0" applyFont="1" applyFill="1"/>
    <xf numFmtId="166" fontId="21" fillId="2" borderId="0" xfId="0" applyNumberFormat="1" applyFont="1" applyFill="1" applyAlignment="1">
      <alignment horizontal="center"/>
    </xf>
    <xf numFmtId="166" fontId="0" fillId="4" borderId="0" xfId="0" applyNumberFormat="1" applyFill="1" applyAlignment="1">
      <alignment horizontal="center"/>
    </xf>
    <xf numFmtId="2" fontId="0" fillId="4" borderId="2" xfId="0" applyNumberFormat="1" applyFill="1" applyBorder="1" applyAlignment="1">
      <alignment horizontal="center"/>
    </xf>
    <xf numFmtId="0" fontId="1" fillId="2" borderId="1" xfId="0" applyFont="1" applyFill="1" applyBorder="1"/>
    <xf numFmtId="0" fontId="18" fillId="2" borderId="0" xfId="0" applyFont="1" applyFill="1"/>
    <xf numFmtId="0" fontId="10" fillId="2" borderId="0" xfId="1" applyFill="1" applyAlignment="1" applyProtection="1">
      <alignment horizontal="left"/>
    </xf>
    <xf numFmtId="0" fontId="9" fillId="2" borderId="0" xfId="0" applyFont="1" applyFill="1"/>
    <xf numFmtId="1" fontId="3" fillId="2" borderId="0" xfId="0" applyNumberFormat="1" applyFont="1" applyFill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7" fontId="0" fillId="2" borderId="0" xfId="0" applyNumberFormat="1" applyFill="1" applyBorder="1" applyAlignment="1">
      <alignment horizontal="center"/>
    </xf>
    <xf numFmtId="0" fontId="1" fillId="2" borderId="3" xfId="0" applyFont="1" applyFill="1" applyBorder="1"/>
    <xf numFmtId="1" fontId="11" fillId="2" borderId="0" xfId="0" applyNumberFormat="1" applyFont="1" applyFill="1" applyBorder="1" applyAlignment="1">
      <alignment horizontal="left"/>
    </xf>
    <xf numFmtId="167" fontId="0" fillId="3" borderId="0" xfId="0" applyNumberFormat="1" applyFill="1" applyBorder="1" applyAlignment="1">
      <alignment horizontal="center"/>
    </xf>
    <xf numFmtId="2" fontId="0" fillId="3" borderId="0" xfId="0" applyNumberFormat="1" applyFill="1" applyBorder="1" applyAlignment="1">
      <alignment horizontal="center"/>
    </xf>
    <xf numFmtId="166" fontId="0" fillId="2" borderId="0" xfId="0" applyNumberFormat="1" applyFill="1" applyBorder="1" applyAlignment="1"/>
    <xf numFmtId="167" fontId="0" fillId="2" borderId="0" xfId="0" applyNumberFormat="1" applyFill="1" applyBorder="1" applyAlignment="1"/>
    <xf numFmtId="2" fontId="0" fillId="2" borderId="0" xfId="0" applyNumberFormat="1" applyFill="1" applyBorder="1" applyAlignment="1"/>
    <xf numFmtId="0" fontId="0" fillId="2" borderId="0" xfId="0" applyFill="1" applyBorder="1" applyAlignment="1">
      <alignment horizontal="right"/>
    </xf>
    <xf numFmtId="164" fontId="0" fillId="3" borderId="2" xfId="0" applyNumberFormat="1" applyFill="1" applyBorder="1" applyAlignment="1">
      <alignment horizontal="center"/>
    </xf>
    <xf numFmtId="167" fontId="0" fillId="3" borderId="2" xfId="0" applyNumberFormat="1" applyFill="1" applyBorder="1" applyAlignment="1">
      <alignment horizontal="center"/>
    </xf>
    <xf numFmtId="0" fontId="18" fillId="2" borderId="0" xfId="0" applyFont="1" applyFill="1" applyAlignment="1">
      <alignment horizontal="left"/>
    </xf>
    <xf numFmtId="2" fontId="31" fillId="2" borderId="0" xfId="0" applyNumberFormat="1" applyFont="1" applyFill="1" applyAlignment="1">
      <alignment horizontal="center"/>
    </xf>
    <xf numFmtId="165" fontId="1" fillId="2" borderId="3" xfId="0" applyNumberFormat="1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2" fontId="1" fillId="5" borderId="0" xfId="0" applyNumberFormat="1" applyFont="1" applyFill="1" applyBorder="1" applyAlignment="1">
      <alignment horizontal="center"/>
    </xf>
    <xf numFmtId="166" fontId="0" fillId="5" borderId="0" xfId="0" applyNumberFormat="1" applyFill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" fontId="0" fillId="5" borderId="0" xfId="0" applyNumberFormat="1" applyFill="1" applyAlignment="1">
      <alignment horizontal="center"/>
    </xf>
    <xf numFmtId="0" fontId="1" fillId="6" borderId="0" xfId="0" applyFont="1" applyFill="1" applyAlignment="1">
      <alignment horizontal="center"/>
    </xf>
    <xf numFmtId="2" fontId="0" fillId="4" borderId="0" xfId="0" applyNumberFormat="1" applyFill="1" applyAlignment="1">
      <alignment horizontal="center"/>
    </xf>
    <xf numFmtId="167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5" xfId="0" applyFill="1" applyBorder="1" applyAlignment="1">
      <alignment horizontal="center"/>
    </xf>
    <xf numFmtId="11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5" fontId="1" fillId="5" borderId="0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2" fontId="0" fillId="5" borderId="0" xfId="0" applyNumberFormat="1" applyFill="1" applyBorder="1" applyAlignment="1">
      <alignment horizontal="center"/>
    </xf>
    <xf numFmtId="166" fontId="0" fillId="5" borderId="0" xfId="0" applyNumberFormat="1" applyFill="1" applyBorder="1" applyAlignment="1">
      <alignment horizontal="center"/>
    </xf>
    <xf numFmtId="165" fontId="0" fillId="5" borderId="0" xfId="0" applyNumberFormat="1" applyFill="1" applyAlignment="1">
      <alignment horizontal="center"/>
    </xf>
    <xf numFmtId="166" fontId="0" fillId="2" borderId="0" xfId="0" applyNumberFormat="1" applyFill="1" applyBorder="1" applyAlignment="1">
      <alignment horizontal="left"/>
    </xf>
    <xf numFmtId="0" fontId="1" fillId="5" borderId="0" xfId="0" applyFont="1" applyFill="1" applyBorder="1"/>
    <xf numFmtId="1" fontId="8" fillId="5" borderId="0" xfId="0" applyNumberFormat="1" applyFont="1" applyFill="1" applyBorder="1" applyAlignment="1">
      <alignment horizontal="center"/>
    </xf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167" fontId="0" fillId="5" borderId="0" xfId="0" applyNumberFormat="1" applyFill="1" applyBorder="1" applyAlignment="1">
      <alignment horizontal="center"/>
    </xf>
    <xf numFmtId="1" fontId="8" fillId="5" borderId="6" xfId="0" applyNumberFormat="1" applyFont="1" applyFill="1" applyBorder="1" applyAlignment="1">
      <alignment horizontal="center"/>
    </xf>
    <xf numFmtId="0" fontId="0" fillId="5" borderId="6" xfId="0" applyFill="1" applyBorder="1"/>
    <xf numFmtId="0" fontId="1" fillId="5" borderId="6" xfId="0" applyFont="1" applyFill="1" applyBorder="1"/>
    <xf numFmtId="0" fontId="0" fillId="5" borderId="6" xfId="0" applyFill="1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1" fontId="0" fillId="5" borderId="0" xfId="0" applyNumberFormat="1" applyFill="1" applyBorder="1" applyAlignment="1">
      <alignment horizontal="center"/>
    </xf>
    <xf numFmtId="0" fontId="17" fillId="2" borderId="0" xfId="0" applyFont="1" applyFill="1" applyBorder="1"/>
    <xf numFmtId="0" fontId="17" fillId="2" borderId="0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166" fontId="17" fillId="2" borderId="3" xfId="0" applyNumberFormat="1" applyFont="1" applyFill="1" applyBorder="1" applyAlignment="1">
      <alignment horizontal="left"/>
    </xf>
    <xf numFmtId="0" fontId="17" fillId="2" borderId="3" xfId="0" applyFont="1" applyFill="1" applyBorder="1"/>
    <xf numFmtId="0" fontId="32" fillId="2" borderId="0" xfId="0" applyFont="1" applyFill="1"/>
    <xf numFmtId="0" fontId="23" fillId="2" borderId="0" xfId="0" applyFont="1" applyFill="1" applyBorder="1"/>
    <xf numFmtId="0" fontId="0" fillId="2" borderId="1" xfId="0" applyFill="1" applyBorder="1" applyAlignment="1">
      <alignment horizontal="left" wrapText="1"/>
    </xf>
    <xf numFmtId="2" fontId="0" fillId="3" borderId="9" xfId="0" applyNumberFormat="1" applyFill="1" applyBorder="1" applyAlignment="1">
      <alignment horizontal="center"/>
    </xf>
    <xf numFmtId="0" fontId="0" fillId="3" borderId="9" xfId="0" applyFill="1" applyBorder="1"/>
    <xf numFmtId="2" fontId="0" fillId="3" borderId="9" xfId="0" applyNumberFormat="1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5" fillId="2" borderId="0" xfId="0" applyFont="1" applyFill="1" applyAlignment="1">
      <alignment horizontal="left"/>
    </xf>
    <xf numFmtId="2" fontId="0" fillId="2" borderId="0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165" fontId="0" fillId="2" borderId="0" xfId="0" applyNumberFormat="1" applyFill="1" applyBorder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2" fontId="27" fillId="2" borderId="0" xfId="0" applyNumberFormat="1" applyFont="1" applyFill="1" applyBorder="1" applyAlignment="1">
      <alignment horizontal="left"/>
    </xf>
    <xf numFmtId="0" fontId="27" fillId="2" borderId="0" xfId="0" applyFont="1" applyFill="1" applyBorder="1" applyAlignment="1">
      <alignment horizontal="left"/>
    </xf>
    <xf numFmtId="2" fontId="24" fillId="2" borderId="0" xfId="1" applyNumberFormat="1" applyFont="1" applyFill="1" applyBorder="1" applyAlignment="1" applyProtection="1">
      <alignment horizontal="left"/>
    </xf>
    <xf numFmtId="2" fontId="3" fillId="2" borderId="0" xfId="0" applyNumberFormat="1" applyFont="1" applyFill="1" applyAlignment="1">
      <alignment horizontal="left"/>
    </xf>
    <xf numFmtId="2" fontId="3" fillId="2" borderId="0" xfId="0" applyNumberFormat="1" applyFont="1" applyFill="1" applyBorder="1" applyAlignment="1">
      <alignment horizontal="left"/>
    </xf>
    <xf numFmtId="1" fontId="0" fillId="6" borderId="0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 wrapText="1"/>
    </xf>
    <xf numFmtId="166" fontId="1" fillId="2" borderId="3" xfId="0" applyNumberFormat="1" applyFon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1" fontId="0" fillId="3" borderId="0" xfId="0" applyNumberFormat="1" applyFill="1" applyAlignment="1">
      <alignment horizontal="center"/>
    </xf>
    <xf numFmtId="1" fontId="13" fillId="3" borderId="0" xfId="0" applyNumberFormat="1" applyFont="1" applyFill="1" applyBorder="1" applyAlignment="1">
      <alignment horizontal="center"/>
    </xf>
    <xf numFmtId="166" fontId="17" fillId="4" borderId="0" xfId="0" applyNumberFormat="1" applyFont="1" applyFill="1" applyBorder="1" applyAlignment="1">
      <alignment horizontal="center"/>
    </xf>
    <xf numFmtId="1" fontId="17" fillId="4" borderId="0" xfId="0" applyNumberFormat="1" applyFont="1" applyFill="1" applyBorder="1" applyAlignment="1">
      <alignment horizontal="center"/>
    </xf>
    <xf numFmtId="2" fontId="17" fillId="4" borderId="0" xfId="0" applyNumberFormat="1" applyFont="1" applyFill="1" applyBorder="1" applyAlignment="1">
      <alignment horizontal="center"/>
    </xf>
    <xf numFmtId="164" fontId="17" fillId="4" borderId="0" xfId="0" applyNumberFormat="1" applyFont="1" applyFill="1" applyBorder="1" applyAlignment="1">
      <alignment horizontal="center"/>
    </xf>
    <xf numFmtId="1" fontId="0" fillId="6" borderId="0" xfId="0" applyNumberFormat="1" applyFill="1" applyAlignment="1">
      <alignment horizontal="center"/>
    </xf>
    <xf numFmtId="166" fontId="0" fillId="2" borderId="0" xfId="0" applyNumberFormat="1" applyFill="1" applyAlignment="1">
      <alignment horizontal="center" wrapText="1"/>
    </xf>
    <xf numFmtId="164" fontId="0" fillId="2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5" borderId="3" xfId="0" applyFill="1" applyBorder="1" applyAlignment="1">
      <alignment horizontal="center"/>
    </xf>
    <xf numFmtId="166" fontId="13" fillId="3" borderId="0" xfId="0" applyNumberFormat="1" applyFont="1" applyFill="1" applyBorder="1" applyAlignment="1">
      <alignment horizontal="center"/>
    </xf>
    <xf numFmtId="167" fontId="0" fillId="5" borderId="0" xfId="0" applyNumberFormat="1" applyFill="1" applyAlignment="1">
      <alignment horizontal="center"/>
    </xf>
    <xf numFmtId="2" fontId="13" fillId="3" borderId="0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 wrapText="1"/>
    </xf>
    <xf numFmtId="1" fontId="1" fillId="2" borderId="0" xfId="0" applyNumberFormat="1" applyFont="1" applyFill="1" applyBorder="1" applyAlignment="1">
      <alignment horizontal="left"/>
    </xf>
    <xf numFmtId="0" fontId="33" fillId="2" borderId="0" xfId="0" applyFont="1" applyFill="1" applyBorder="1" applyAlignment="1">
      <alignment horizontal="center"/>
    </xf>
    <xf numFmtId="1" fontId="33" fillId="2" borderId="0" xfId="0" applyNumberFormat="1" applyFont="1" applyFill="1" applyBorder="1"/>
    <xf numFmtId="1" fontId="33" fillId="2" borderId="0" xfId="0" applyNumberFormat="1" applyFont="1" applyFill="1" applyBorder="1" applyAlignment="1">
      <alignment horizontal="center"/>
    </xf>
    <xf numFmtId="1" fontId="34" fillId="2" borderId="0" xfId="0" applyNumberFormat="1" applyFont="1" applyFill="1" applyBorder="1" applyAlignment="1">
      <alignment horizontal="center"/>
    </xf>
    <xf numFmtId="0" fontId="34" fillId="2" borderId="0" xfId="0" applyFont="1" applyFill="1" applyBorder="1"/>
    <xf numFmtId="0" fontId="17" fillId="2" borderId="0" xfId="0" applyFont="1" applyFill="1" applyAlignment="1">
      <alignment horizontal="center"/>
    </xf>
    <xf numFmtId="1" fontId="17" fillId="2" borderId="0" xfId="0" applyNumberFormat="1" applyFont="1" applyFill="1" applyAlignment="1">
      <alignment horizontal="center"/>
    </xf>
    <xf numFmtId="165" fontId="17" fillId="2" borderId="0" xfId="0" applyNumberFormat="1" applyFont="1" applyFill="1" applyAlignment="1">
      <alignment horizontal="center"/>
    </xf>
    <xf numFmtId="0" fontId="13" fillId="2" borderId="0" xfId="0" applyFont="1" applyFill="1" applyBorder="1" applyAlignment="1">
      <alignment horizontal="right"/>
    </xf>
    <xf numFmtId="0" fontId="1" fillId="2" borderId="0" xfId="0" applyFont="1" applyFill="1" applyBorder="1" applyAlignment="1">
      <alignment horizontal="center"/>
    </xf>
    <xf numFmtId="165" fontId="0" fillId="5" borderId="6" xfId="0" applyNumberForma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0" fillId="5" borderId="3" xfId="0" applyFill="1" applyBorder="1"/>
    <xf numFmtId="0" fontId="0" fillId="5" borderId="10" xfId="0" applyFill="1" applyBorder="1"/>
    <xf numFmtId="167" fontId="1" fillId="5" borderId="0" xfId="0" applyNumberFormat="1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/>
    <xf numFmtId="169" fontId="0" fillId="6" borderId="0" xfId="0" applyNumberFormat="1" applyFill="1"/>
    <xf numFmtId="2" fontId="0" fillId="6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0" fontId="36" fillId="2" borderId="0" xfId="0" applyFont="1" applyFill="1" applyBorder="1" applyAlignment="1">
      <alignment horizontal="left"/>
    </xf>
    <xf numFmtId="0" fontId="13" fillId="2" borderId="0" xfId="0" applyFont="1" applyFill="1" applyAlignment="1">
      <alignment horizontal="left"/>
    </xf>
    <xf numFmtId="167" fontId="17" fillId="4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right"/>
    </xf>
    <xf numFmtId="3" fontId="0" fillId="4" borderId="0" xfId="0" applyNumberFormat="1" applyFill="1" applyAlignment="1">
      <alignment horizontal="center"/>
    </xf>
    <xf numFmtId="0" fontId="0" fillId="2" borderId="3" xfId="0" applyFill="1" applyBorder="1" applyAlignment="1">
      <alignment horizontal="left"/>
    </xf>
    <xf numFmtId="0" fontId="17" fillId="2" borderId="3" xfId="0" applyFont="1" applyFill="1" applyBorder="1" applyAlignment="1">
      <alignment horizontal="left"/>
    </xf>
    <xf numFmtId="0" fontId="28" fillId="2" borderId="0" xfId="0" applyFont="1" applyFill="1" applyBorder="1" applyAlignment="1">
      <alignment horizontal="left"/>
    </xf>
    <xf numFmtId="0" fontId="28" fillId="2" borderId="0" xfId="0" applyFont="1" applyFill="1" applyAlignment="1">
      <alignment horizontal="left"/>
    </xf>
    <xf numFmtId="1" fontId="0" fillId="2" borderId="0" xfId="0" applyNumberFormat="1" applyFill="1" applyAlignment="1">
      <alignment horizontal="left"/>
    </xf>
    <xf numFmtId="167" fontId="0" fillId="3" borderId="0" xfId="0" applyNumberFormat="1" applyFill="1" applyAlignment="1">
      <alignment horizontal="left"/>
    </xf>
    <xf numFmtId="1" fontId="0" fillId="2" borderId="0" xfId="0" applyNumberFormat="1" applyFill="1" applyAlignment="1">
      <alignment horizontal="center" wrapText="1"/>
    </xf>
    <xf numFmtId="2" fontId="6" fillId="2" borderId="0" xfId="0" applyNumberFormat="1" applyFont="1" applyFill="1" applyBorder="1" applyAlignment="1">
      <alignment horizontal="center" wrapText="1"/>
    </xf>
    <xf numFmtId="0" fontId="1" fillId="5" borderId="11" xfId="0" applyFont="1" applyFill="1" applyBorder="1" applyAlignment="1">
      <alignment horizontal="left"/>
    </xf>
    <xf numFmtId="0" fontId="1" fillId="5" borderId="12" xfId="0" applyFont="1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1" fillId="2" borderId="6" xfId="0" applyFont="1" applyFill="1" applyBorder="1" applyAlignment="1">
      <alignment horizontal="center"/>
    </xf>
    <xf numFmtId="167" fontId="0" fillId="3" borderId="0" xfId="0" applyNumberFormat="1" applyFill="1" applyAlignment="1">
      <alignment horizontal="center"/>
    </xf>
    <xf numFmtId="0" fontId="13" fillId="3" borderId="0" xfId="0" applyFont="1" applyFill="1" applyAlignment="1">
      <alignment horizontal="center"/>
    </xf>
    <xf numFmtId="167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2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1" fontId="21" fillId="2" borderId="0" xfId="0" applyNumberFormat="1" applyFont="1" applyFill="1" applyBorder="1" applyAlignment="1">
      <alignment horizontal="center"/>
    </xf>
    <xf numFmtId="0" fontId="21" fillId="2" borderId="0" xfId="0" applyFont="1" applyFill="1" applyBorder="1"/>
    <xf numFmtId="0" fontId="21" fillId="2" borderId="0" xfId="0" applyFont="1" applyFill="1"/>
    <xf numFmtId="166" fontId="1" fillId="3" borderId="0" xfId="0" applyNumberFormat="1" applyFont="1" applyFill="1" applyBorder="1" applyAlignment="1">
      <alignment horizontal="center"/>
    </xf>
    <xf numFmtId="164" fontId="1" fillId="3" borderId="0" xfId="0" applyNumberFormat="1" applyFont="1" applyFill="1" applyBorder="1" applyAlignment="1">
      <alignment horizontal="center"/>
    </xf>
    <xf numFmtId="166" fontId="1" fillId="2" borderId="3" xfId="0" applyNumberFormat="1" applyFont="1" applyFill="1" applyBorder="1" applyAlignment="1">
      <alignment horizontal="center" wrapText="1"/>
    </xf>
    <xf numFmtId="0" fontId="0" fillId="3" borderId="0" xfId="0" applyFill="1" applyAlignment="1">
      <alignment horizontal="left"/>
    </xf>
    <xf numFmtId="164" fontId="0" fillId="5" borderId="2" xfId="0" applyNumberFormat="1" applyFill="1" applyBorder="1" applyAlignment="1">
      <alignment horizontal="center"/>
    </xf>
    <xf numFmtId="0" fontId="8" fillId="2" borderId="0" xfId="0" applyFont="1" applyFill="1" applyBorder="1" applyAlignment="1"/>
    <xf numFmtId="166" fontId="0" fillId="2" borderId="0" xfId="0" applyNumberFormat="1" applyFill="1" applyBorder="1" applyAlignment="1">
      <alignment horizontal="center"/>
    </xf>
    <xf numFmtId="0" fontId="37" fillId="2" borderId="0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 wrapText="1"/>
    </xf>
    <xf numFmtId="0" fontId="13" fillId="2" borderId="0" xfId="0" applyFont="1" applyFill="1" applyBorder="1" applyAlignment="1">
      <alignment horizontal="center" wrapText="1"/>
    </xf>
    <xf numFmtId="0" fontId="38" fillId="2" borderId="0" xfId="0" applyFont="1" applyFill="1" applyBorder="1" applyAlignment="1"/>
    <xf numFmtId="1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170" fontId="0" fillId="3" borderId="0" xfId="0" applyNumberFormat="1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9" fontId="0" fillId="10" borderId="0" xfId="0" applyNumberForma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11" fontId="0" fillId="4" borderId="0" xfId="0" applyNumberFormat="1" applyFill="1" applyBorder="1" applyAlignment="1">
      <alignment horizontal="center"/>
    </xf>
    <xf numFmtId="3" fontId="0" fillId="4" borderId="0" xfId="0" applyNumberFormat="1" applyFill="1" applyBorder="1" applyAlignment="1">
      <alignment horizontal="center"/>
    </xf>
    <xf numFmtId="0" fontId="0" fillId="11" borderId="0" xfId="0" applyFill="1" applyAlignment="1">
      <alignment horizontal="left"/>
    </xf>
    <xf numFmtId="1" fontId="0" fillId="11" borderId="0" xfId="0" applyNumberFormat="1" applyFill="1" applyAlignment="1">
      <alignment horizontal="center"/>
    </xf>
    <xf numFmtId="167" fontId="0" fillId="11" borderId="0" xfId="0" applyNumberFormat="1" applyFill="1" applyBorder="1" applyAlignment="1">
      <alignment horizontal="center"/>
    </xf>
    <xf numFmtId="2" fontId="0" fillId="11" borderId="0" xfId="0" applyNumberFormat="1" applyFill="1" applyBorder="1" applyAlignment="1">
      <alignment horizontal="center"/>
    </xf>
    <xf numFmtId="166" fontId="0" fillId="11" borderId="0" xfId="0" applyNumberFormat="1" applyFill="1" applyBorder="1" applyAlignment="1">
      <alignment horizontal="center"/>
    </xf>
    <xf numFmtId="165" fontId="0" fillId="11" borderId="0" xfId="0" applyNumberFormat="1" applyFill="1" applyAlignment="1">
      <alignment horizontal="center"/>
    </xf>
    <xf numFmtId="11" fontId="0" fillId="11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167" fontId="0" fillId="11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/>
    <xf numFmtId="169" fontId="0" fillId="11" borderId="0" xfId="0" applyNumberFormat="1" applyFill="1"/>
    <xf numFmtId="0" fontId="0" fillId="11" borderId="0" xfId="0" applyFill="1" applyBorder="1" applyAlignment="1">
      <alignment horizontal="center"/>
    </xf>
    <xf numFmtId="1" fontId="0" fillId="11" borderId="0" xfId="0" applyNumberFormat="1" applyFill="1"/>
    <xf numFmtId="1" fontId="0" fillId="11" borderId="0" xfId="0" applyNumberFormat="1" applyFill="1" applyAlignment="1">
      <alignment horizontal="left"/>
    </xf>
    <xf numFmtId="0" fontId="6" fillId="7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center"/>
    </xf>
    <xf numFmtId="0" fontId="6" fillId="9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 wrapText="1"/>
    </xf>
    <xf numFmtId="1" fontId="0" fillId="2" borderId="0" xfId="0" applyNumberForma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1" fontId="0" fillId="6" borderId="0" xfId="0" applyNumberFormat="1" applyFill="1" applyAlignment="1">
      <alignment horizontal="center"/>
    </xf>
    <xf numFmtId="11" fontId="0" fillId="6" borderId="0" xfId="0" applyNumberForma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68" fontId="0" fillId="6" borderId="0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 wrapText="1"/>
    </xf>
    <xf numFmtId="0" fontId="0" fillId="2" borderId="3" xfId="0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45"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fgColor rgb="FFFFFFFF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22137404580154"/>
          <c:y val="9.0909359935369125E-2"/>
          <c:w val="0.78816793893129766"/>
          <c:h val="0.7181839434894160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Cxyt!$C$4:$C$104</c:f>
              <c:numCache>
                <c:formatCode>General</c:formatCode>
                <c:ptCount val="101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175</c:v>
                </c:pt>
                <c:pt idx="7">
                  <c:v>200</c:v>
                </c:pt>
                <c:pt idx="8">
                  <c:v>225</c:v>
                </c:pt>
                <c:pt idx="9">
                  <c:v>250</c:v>
                </c:pt>
                <c:pt idx="10">
                  <c:v>275</c:v>
                </c:pt>
                <c:pt idx="11">
                  <c:v>300</c:v>
                </c:pt>
                <c:pt idx="12">
                  <c:v>325</c:v>
                </c:pt>
                <c:pt idx="13">
                  <c:v>350</c:v>
                </c:pt>
                <c:pt idx="14">
                  <c:v>375</c:v>
                </c:pt>
                <c:pt idx="15">
                  <c:v>400</c:v>
                </c:pt>
                <c:pt idx="16">
                  <c:v>425</c:v>
                </c:pt>
                <c:pt idx="17">
                  <c:v>450</c:v>
                </c:pt>
                <c:pt idx="18">
                  <c:v>475</c:v>
                </c:pt>
                <c:pt idx="19">
                  <c:v>500</c:v>
                </c:pt>
                <c:pt idx="20">
                  <c:v>525</c:v>
                </c:pt>
                <c:pt idx="21">
                  <c:v>550</c:v>
                </c:pt>
                <c:pt idx="22">
                  <c:v>575</c:v>
                </c:pt>
                <c:pt idx="23">
                  <c:v>600</c:v>
                </c:pt>
                <c:pt idx="24">
                  <c:v>625</c:v>
                </c:pt>
                <c:pt idx="25">
                  <c:v>650</c:v>
                </c:pt>
                <c:pt idx="26">
                  <c:v>675</c:v>
                </c:pt>
                <c:pt idx="27">
                  <c:v>700</c:v>
                </c:pt>
                <c:pt idx="28">
                  <c:v>725</c:v>
                </c:pt>
                <c:pt idx="29">
                  <c:v>750</c:v>
                </c:pt>
                <c:pt idx="30">
                  <c:v>775</c:v>
                </c:pt>
                <c:pt idx="31">
                  <c:v>800</c:v>
                </c:pt>
                <c:pt idx="32">
                  <c:v>825</c:v>
                </c:pt>
                <c:pt idx="33">
                  <c:v>850</c:v>
                </c:pt>
                <c:pt idx="34">
                  <c:v>875</c:v>
                </c:pt>
                <c:pt idx="35">
                  <c:v>900</c:v>
                </c:pt>
                <c:pt idx="36">
                  <c:v>925</c:v>
                </c:pt>
                <c:pt idx="37">
                  <c:v>950</c:v>
                </c:pt>
                <c:pt idx="38">
                  <c:v>975</c:v>
                </c:pt>
                <c:pt idx="39">
                  <c:v>1000</c:v>
                </c:pt>
              </c:numCache>
            </c:numRef>
          </c:xVal>
          <c:yVal>
            <c:numRef>
              <c:f>Cxyt!$E$4:$E$104</c:f>
              <c:numCache>
                <c:formatCode>0.0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94560"/>
        <c:axId val="70157056"/>
      </c:scatterChart>
      <c:valAx>
        <c:axId val="45394560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0.46564885496183206"/>
              <c:y val="0.890911636045494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157056"/>
        <c:crossesAt val="0.1"/>
        <c:crossBetween val="midCat"/>
      </c:valAx>
      <c:valAx>
        <c:axId val="7015705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 (ug/L)</a:t>
                </a:r>
              </a:p>
            </c:rich>
          </c:tx>
          <c:layout>
            <c:manualLayout>
              <c:xMode val="edge"/>
              <c:yMode val="edge"/>
              <c:x val="3.0534351145038167E-2"/>
              <c:y val="0.2727282271534240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945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Forward Prediction</a:t>
            </a:r>
          </a:p>
        </c:rich>
      </c:tx>
      <c:layout>
        <c:manualLayout>
          <c:xMode val="edge"/>
          <c:yMode val="edge"/>
          <c:x val="0.26558322486111996"/>
          <c:y val="0.1312745366288673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06294742692302"/>
          <c:y val="0.10810831191992927"/>
          <c:w val="0.69105873946355079"/>
          <c:h val="0.6486498715195755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Fit!$R$95:$R$132</c:f>
                <c:numCache>
                  <c:formatCode>General</c:formatCode>
                  <c:ptCount val="3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</c:numCache>
              </c:numRef>
            </c:plus>
            <c:minus>
              <c:numRef>
                <c:f>Fit!$S$95:$S$132</c:f>
                <c:numCache>
                  <c:formatCode>General</c:formatCode>
                  <c:ptCount val="38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Fit!$C$95:$C$115</c:f>
              <c:numCache>
                <c:formatCode>0</c:formatCode>
                <c:ptCount val="2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  <c:pt idx="11">
                  <c:v>2055</c:v>
                </c:pt>
                <c:pt idx="12">
                  <c:v>2060</c:v>
                </c:pt>
                <c:pt idx="13">
                  <c:v>2065</c:v>
                </c:pt>
                <c:pt idx="14">
                  <c:v>2070</c:v>
                </c:pt>
                <c:pt idx="15">
                  <c:v>2075</c:v>
                </c:pt>
                <c:pt idx="16">
                  <c:v>2080</c:v>
                </c:pt>
                <c:pt idx="17">
                  <c:v>2085</c:v>
                </c:pt>
                <c:pt idx="18">
                  <c:v>2090</c:v>
                </c:pt>
                <c:pt idx="19">
                  <c:v>2095</c:v>
                </c:pt>
                <c:pt idx="20">
                  <c:v>2100</c:v>
                </c:pt>
              </c:numCache>
            </c:numRef>
          </c:xVal>
          <c:yVal>
            <c:numRef>
              <c:f>Fit!$H$95:$H$115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04128"/>
        <c:axId val="73907584"/>
      </c:scatterChart>
      <c:valAx>
        <c:axId val="73904128"/>
        <c:scaling>
          <c:orientation val="minMax"/>
          <c:min val="199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929681554033393"/>
              <c:y val="0.8610054824228051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907584"/>
        <c:crossesAt val="0.1"/>
        <c:crossBetween val="midCat"/>
      </c:valAx>
      <c:valAx>
        <c:axId val="73907584"/>
        <c:scaling>
          <c:logBase val="10"/>
          <c:orientation val="minMax"/>
          <c:max val="10000"/>
          <c:min val="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Concentration, ug/L</a:t>
                </a:r>
              </a:p>
            </c:rich>
          </c:tx>
          <c:layout>
            <c:manualLayout>
              <c:xMode val="edge"/>
              <c:yMode val="edge"/>
              <c:x val="4.3360433604336043E-2"/>
              <c:y val="0.2162166215709522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90412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Model Calibration</a:t>
            </a:r>
          </a:p>
        </c:rich>
      </c:tx>
      <c:layout>
        <c:manualLayout>
          <c:xMode val="edge"/>
          <c:yMode val="edge"/>
          <c:x val="0.202312442158603"/>
          <c:y val="9.25110132158590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919100432256527"/>
          <c:y val="6.6079295154185022E-2"/>
          <c:w val="0.71676401729026107"/>
          <c:h val="0.74008810572687223"/>
        </c:manualLayout>
      </c:layout>
      <c:scatterChart>
        <c:scatterStyle val="lineMarker"/>
        <c:varyColors val="0"/>
        <c:ser>
          <c:idx val="2"/>
          <c:order val="0"/>
          <c:tx>
            <c:v>1:1</c:v>
          </c:tx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Fit!$AB$10:$AB$11</c:f>
              <c:numCache>
                <c:formatCode>General</c:formatCode>
                <c:ptCount val="2"/>
                <c:pt idx="0">
                  <c:v>0.1</c:v>
                </c:pt>
                <c:pt idx="1">
                  <c:v>10000</c:v>
                </c:pt>
              </c:numCache>
            </c:numRef>
          </c:xVal>
          <c:yVal>
            <c:numRef>
              <c:f>Fit!$AB$10:$AB$11</c:f>
              <c:numCache>
                <c:formatCode>General</c:formatCode>
                <c:ptCount val="2"/>
                <c:pt idx="0">
                  <c:v>0.1</c:v>
                </c:pt>
                <c:pt idx="1">
                  <c:v>10000</c:v>
                </c:pt>
              </c:numCache>
            </c:numRef>
          </c:yVal>
          <c:smooth val="0"/>
        </c:ser>
        <c:ser>
          <c:idx val="0"/>
          <c:order val="1"/>
          <c:tx>
            <c:v>Data</c:v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Fit!$R$52:$R$93</c:f>
                <c:numCache>
                  <c:formatCode>General</c:formatCode>
                  <c:ptCount val="4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</c:numCache>
              </c:numRef>
            </c:plus>
            <c:minus>
              <c:numRef>
                <c:f>Fit!$S$52:$S$93</c:f>
                <c:numCache>
                  <c:formatCode>General</c:formatCode>
                  <c:ptCount val="4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Fit!$G$52:$G$93</c:f>
              <c:numCache>
                <c:formatCode>0</c:formatCode>
                <c:ptCount val="42"/>
                <c:pt idx="0">
                  <c:v>6717.7279520550865</c:v>
                </c:pt>
                <c:pt idx="1">
                  <c:v>1168.1156301452932</c:v>
                </c:pt>
                <c:pt idx="2">
                  <c:v>2860.2481404378218</c:v>
                </c:pt>
                <c:pt idx="3">
                  <c:v>737.04418556579981</c:v>
                </c:pt>
                <c:pt idx="4">
                  <c:v>1756.5112649055909</c:v>
                </c:pt>
                <c:pt idx="5">
                  <c:v>1033.713050428451</c:v>
                </c:pt>
                <c:pt idx="6">
                  <c:v>2490.1093855654262</c:v>
                </c:pt>
                <c:pt idx="7">
                  <c:v>1160.5881316894781</c:v>
                </c:pt>
                <c:pt idx="8">
                  <c:v>1091.8287102716245</c:v>
                </c:pt>
                <c:pt idx="9">
                  <c:v>505.40439501849551</c:v>
                </c:pt>
                <c:pt idx="10">
                  <c:v>761.68311356075867</c:v>
                </c:pt>
                <c:pt idx="11">
                  <c:v>328.53068436026797</c:v>
                </c:pt>
                <c:pt idx="12">
                  <c:v>2873.9490276911474</c:v>
                </c:pt>
                <c:pt idx="13">
                  <c:v>653.14386187581385</c:v>
                </c:pt>
                <c:pt idx="14">
                  <c:v>132.27447539739111</c:v>
                </c:pt>
                <c:pt idx="15">
                  <c:v>101.64966992764822</c:v>
                </c:pt>
                <c:pt idx="16">
                  <c:v>154.35600078486496</c:v>
                </c:pt>
                <c:pt idx="17">
                  <c:v>162.82321911654017</c:v>
                </c:pt>
                <c:pt idx="18">
                  <c:v>179.99687190186532</c:v>
                </c:pt>
                <c:pt idx="19">
                  <c:v>80.754362037917076</c:v>
                </c:pt>
                <c:pt idx="20">
                  <c:v>99.434238636996554</c:v>
                </c:pt>
                <c:pt idx="21">
                  <c:v>54.393283985657703</c:v>
                </c:pt>
                <c:pt idx="22">
                  <c:v>29.708637133991484</c:v>
                </c:pt>
                <c:pt idx="23">
                  <c:v>21.280771241918011</c:v>
                </c:pt>
                <c:pt idx="24">
                  <c:v>99.169605293487308</c:v>
                </c:pt>
                <c:pt idx="25">
                  <c:v>206.18686648984141</c:v>
                </c:pt>
                <c:pt idx="26">
                  <c:v>111.06268850298905</c:v>
                </c:pt>
                <c:pt idx="27">
                  <c:v>83.165327421416279</c:v>
                </c:pt>
                <c:pt idx="28">
                  <c:v>46.558494699929561</c:v>
                </c:pt>
                <c:pt idx="29">
                  <c:v>0.60987380359356047</c:v>
                </c:pt>
                <c:pt idx="30">
                  <c:v>1.1024684055085852</c:v>
                </c:pt>
                <c:pt idx="31">
                  <c:v>0.15419245826623343</c:v>
                </c:pt>
                <c:pt idx="32">
                  <c:v>0.27810268148464912</c:v>
                </c:pt>
                <c:pt idx="33">
                  <c:v>0.52370535940505858</c:v>
                </c:pt>
                <c:pt idx="34">
                  <c:v>10.14544652914601</c:v>
                </c:pt>
                <c:pt idx="35">
                  <c:v>5.818379999838645</c:v>
                </c:pt>
                <c:pt idx="36">
                  <c:v>208</c:v>
                </c:pt>
                <c:pt idx="37">
                  <c:v>26</c:v>
                </c:pt>
                <c:pt idx="38">
                  <c:v>97</c:v>
                </c:pt>
                <c:pt idx="39">
                  <c:v>20</c:v>
                </c:pt>
                <c:pt idx="40">
                  <c:v>7</c:v>
                </c:pt>
                <c:pt idx="41">
                  <c:v>0.01</c:v>
                </c:pt>
              </c:numCache>
            </c:numRef>
          </c:xVal>
          <c:yVal>
            <c:numRef>
              <c:f>Fit!$H$52:$H$93</c:f>
              <c:numCache>
                <c:formatCode>0.0</c:formatCode>
                <c:ptCount val="42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78688"/>
        <c:axId val="121447168"/>
      </c:scatterChart>
      <c:valAx>
        <c:axId val="104978688"/>
        <c:scaling>
          <c:logBase val="10"/>
          <c:orientation val="minMax"/>
          <c:max val="10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Observed</a:t>
                </a:r>
              </a:p>
            </c:rich>
          </c:tx>
          <c:layout>
            <c:manualLayout>
              <c:xMode val="edge"/>
              <c:yMode val="edge"/>
              <c:x val="0.45375783229408462"/>
              <c:y val="0.889867841409691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447168"/>
        <c:crossesAt val="0.1"/>
        <c:crossBetween val="midCat"/>
      </c:valAx>
      <c:valAx>
        <c:axId val="121447168"/>
        <c:scaling>
          <c:logBase val="10"/>
          <c:orientation val="minMax"/>
          <c:max val="10000"/>
          <c:min val="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Model</a:t>
                </a:r>
              </a:p>
            </c:rich>
          </c:tx>
          <c:layout>
            <c:manualLayout>
              <c:xMode val="edge"/>
              <c:yMode val="edge"/>
              <c:x val="1.4450867052023121E-2"/>
              <c:y val="0.35242290748898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4978688"/>
        <c:crossesAt val="0.1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400050</xdr:colOff>
      <xdr:row>30</xdr:row>
      <xdr:rowOff>95250</xdr:rowOff>
    </xdr:from>
    <xdr:to>
      <xdr:col>8</xdr:col>
      <xdr:colOff>981075</xdr:colOff>
      <xdr:row>51</xdr:row>
      <xdr:rowOff>28575</xdr:rowOff>
    </xdr:to>
    <xdr:pic>
      <xdr:nvPicPr>
        <xdr:cNvPr id="1069" name="Picture 31" descr="Aquifer schematic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295775" y="5410200"/>
          <a:ext cx="4486275" cy="3333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9</xdr:row>
      <xdr:rowOff>9525</xdr:rowOff>
    </xdr:from>
    <xdr:to>
      <xdr:col>22</xdr:col>
      <xdr:colOff>9525</xdr:colOff>
      <xdr:row>28</xdr:row>
      <xdr:rowOff>76200</xdr:rowOff>
    </xdr:to>
    <xdr:graphicFrame macro="">
      <xdr:nvGraphicFramePr>
        <xdr:cNvPr id="717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76200</xdr:colOff>
      <xdr:row>11</xdr:row>
      <xdr:rowOff>104775</xdr:rowOff>
    </xdr:from>
    <xdr:to>
      <xdr:col>21</xdr:col>
      <xdr:colOff>19050</xdr:colOff>
      <xdr:row>25</xdr:row>
      <xdr:rowOff>152400</xdr:rowOff>
    </xdr:to>
    <xdr:graphicFrame macro="">
      <xdr:nvGraphicFramePr>
        <xdr:cNvPr id="5199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342900</xdr:colOff>
      <xdr:row>0</xdr:row>
      <xdr:rowOff>76200</xdr:rowOff>
    </xdr:from>
    <xdr:to>
      <xdr:col>21</xdr:col>
      <xdr:colOff>66675</xdr:colOff>
      <xdr:row>12</xdr:row>
      <xdr:rowOff>57150</xdr:rowOff>
    </xdr:to>
    <xdr:graphicFrame macro="">
      <xdr:nvGraphicFramePr>
        <xdr:cNvPr id="520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47625</xdr:rowOff>
        </xdr:from>
        <xdr:to>
          <xdr:col>3</xdr:col>
          <xdr:colOff>581025</xdr:colOff>
          <xdr:row>45</xdr:row>
          <xdr:rowOff>57150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Parameters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Prior Estimates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714375</xdr:colOff>
          <xdr:row>42</xdr:row>
          <xdr:rowOff>85725</xdr:rowOff>
        </xdr:from>
        <xdr:to>
          <xdr:col>11</xdr:col>
          <xdr:colOff>457200</xdr:colOff>
          <xdr:row>45</xdr:row>
          <xdr:rowOff>9525</xdr:rowOff>
        </xdr:to>
        <xdr:sp macro="" textlink="">
          <xdr:nvSpPr>
            <xdr:cNvPr id="5202" name="Button 82" hidden="1">
              <a:extLst>
                <a:ext uri="{63B3BB69-23CF-44E3-9099-C40C66FF867C}">
                  <a14:compatExt spid="_x0000_s5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s2p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42</xdr:row>
          <xdr:rowOff>104775</xdr:rowOff>
        </xdr:from>
        <xdr:to>
          <xdr:col>7</xdr:col>
          <xdr:colOff>638175</xdr:colOff>
          <xdr:row>45</xdr:row>
          <xdr:rowOff>9525</xdr:rowOff>
        </xdr:to>
        <xdr:sp macro="" textlink="">
          <xdr:nvSpPr>
            <xdr:cNvPr id="5204" name="Button 84" hidden="1">
              <a:extLst>
                <a:ext uri="{63B3BB69-23CF-44E3-9099-C40C66FF867C}">
                  <a14:compatExt spid="_x0000_s5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Inverse Solution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elp%20source%20parameters.txt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elp%20aquifer%20parameters.txt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DNAPL%202D%20transport%20model.pdf" TargetMode="External"/><Relationship Id="rId4" Type="http://schemas.openxmlformats.org/officeDocument/2006/relationships/hyperlink" Target="Help%20plume%20decay%20parameters.txt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3" tint="0.39997558519241921"/>
  </sheetPr>
  <dimension ref="A1:V111"/>
  <sheetViews>
    <sheetView workbookViewId="0">
      <selection activeCell="I27" sqref="I27"/>
    </sheetView>
  </sheetViews>
  <sheetFormatPr defaultColWidth="8.85546875" defaultRowHeight="12.75" x14ac:dyDescent="0.2"/>
  <cols>
    <col min="1" max="1" width="4.7109375" style="2" customWidth="1"/>
    <col min="2" max="2" width="30.42578125" style="2" customWidth="1"/>
    <col min="3" max="3" width="6.85546875" style="2" customWidth="1"/>
    <col min="4" max="4" width="10.42578125" style="2" customWidth="1"/>
    <col min="5" max="5" width="6" style="2" customWidth="1"/>
    <col min="6" max="6" width="6.5703125" style="83" customWidth="1"/>
    <col min="7" max="7" width="46.5703125" style="2" customWidth="1"/>
    <col min="8" max="8" width="5.42578125" style="2" customWidth="1"/>
    <col min="9" max="9" width="30" style="2" customWidth="1"/>
    <col min="10" max="10" width="7.42578125" style="2" customWidth="1"/>
    <col min="11" max="11" width="9.7109375" style="2" customWidth="1"/>
    <col min="12" max="12" width="9.140625" style="2" customWidth="1"/>
    <col min="13" max="13" width="8.85546875" style="2" customWidth="1"/>
    <col min="14" max="14" width="63.7109375" style="2" customWidth="1"/>
    <col min="15" max="15" width="23.140625" style="2" customWidth="1"/>
    <col min="16" max="16" width="8.85546875" style="1" customWidth="1"/>
    <col min="17" max="20" width="8.85546875" style="2" customWidth="1"/>
    <col min="21" max="21" width="29.7109375" style="2" customWidth="1"/>
    <col min="22" max="16384" width="8.85546875" style="2"/>
  </cols>
  <sheetData>
    <row r="1" spans="1:22" ht="15.75" x14ac:dyDescent="0.25">
      <c r="A1" s="49" t="s">
        <v>65</v>
      </c>
    </row>
    <row r="2" spans="1:22" ht="15.75" x14ac:dyDescent="0.25">
      <c r="A2" s="49"/>
    </row>
    <row r="3" spans="1:22" x14ac:dyDescent="0.2">
      <c r="B3" s="62" t="s">
        <v>172</v>
      </c>
      <c r="I3" s="193" t="s">
        <v>208</v>
      </c>
      <c r="J3" s="63"/>
      <c r="K3" s="68"/>
      <c r="M3"/>
      <c r="U3" s="9"/>
      <c r="V3" s="9"/>
    </row>
    <row r="4" spans="1:22" x14ac:dyDescent="0.2">
      <c r="B4" s="130"/>
      <c r="I4" s="67"/>
      <c r="J4" s="63"/>
      <c r="K4" s="63"/>
      <c r="U4" s="9"/>
      <c r="V4" s="9"/>
    </row>
    <row r="5" spans="1:22" x14ac:dyDescent="0.2">
      <c r="B5" s="131" t="s">
        <v>78</v>
      </c>
      <c r="I5" s="67"/>
      <c r="J5" s="63"/>
      <c r="K5" s="63"/>
      <c r="U5" s="9"/>
      <c r="V5" s="9"/>
    </row>
    <row r="6" spans="1:22" ht="39" thickBot="1" x14ac:dyDescent="0.25">
      <c r="B6" s="6" t="s">
        <v>61</v>
      </c>
      <c r="C6" s="50" t="s">
        <v>68</v>
      </c>
      <c r="D6" s="7" t="s">
        <v>120</v>
      </c>
      <c r="E6" s="7"/>
      <c r="F6" s="188"/>
      <c r="G6" s="188" t="s">
        <v>203</v>
      </c>
      <c r="H6" s="53"/>
      <c r="I6" s="6" t="s">
        <v>123</v>
      </c>
      <c r="J6" s="50" t="s">
        <v>68</v>
      </c>
      <c r="K6" s="7" t="s">
        <v>116</v>
      </c>
      <c r="L6" s="7" t="s">
        <v>143</v>
      </c>
      <c r="M6" s="7"/>
      <c r="N6" s="188" t="s">
        <v>203</v>
      </c>
      <c r="Q6" s="116"/>
      <c r="R6" s="116"/>
      <c r="U6" s="9"/>
      <c r="V6" s="9"/>
    </row>
    <row r="7" spans="1:22" ht="11.45" customHeight="1" thickTop="1" x14ac:dyDescent="0.2">
      <c r="H7" s="53"/>
      <c r="Q7" s="9"/>
      <c r="R7" s="9"/>
      <c r="U7" s="9"/>
      <c r="V7" s="9"/>
    </row>
    <row r="8" spans="1:22" x14ac:dyDescent="0.2">
      <c r="B8" s="31" t="s">
        <v>27</v>
      </c>
      <c r="C8" s="9"/>
      <c r="D8" s="38">
        <f>25/3*15/2000</f>
        <v>6.2500000000000014E-2</v>
      </c>
      <c r="E8" s="25" t="s">
        <v>15</v>
      </c>
      <c r="F8" s="194"/>
      <c r="G8" s="191" t="s">
        <v>235</v>
      </c>
      <c r="H8" s="54" t="s">
        <v>204</v>
      </c>
      <c r="I8" s="9" t="s">
        <v>54</v>
      </c>
      <c r="J8" s="9"/>
      <c r="K8" s="144">
        <v>1.6000000000000001E-4</v>
      </c>
      <c r="L8" s="12">
        <v>1.6000000000000001E-4</v>
      </c>
      <c r="M8" s="25" t="s">
        <v>17</v>
      </c>
      <c r="N8" s="191" t="s">
        <v>72</v>
      </c>
      <c r="Q8" s="9"/>
      <c r="R8" s="25"/>
      <c r="U8" s="9"/>
      <c r="V8" s="9"/>
    </row>
    <row r="9" spans="1:22" x14ac:dyDescent="0.2">
      <c r="B9" s="31" t="s">
        <v>5</v>
      </c>
      <c r="C9" s="9"/>
      <c r="D9" s="10">
        <v>0.3</v>
      </c>
      <c r="E9" s="25" t="s">
        <v>55</v>
      </c>
      <c r="F9" s="194"/>
      <c r="G9" s="191" t="s">
        <v>236</v>
      </c>
      <c r="H9" s="54" t="s">
        <v>204</v>
      </c>
      <c r="I9" s="105" t="s">
        <v>145</v>
      </c>
      <c r="K9" s="12">
        <v>1000</v>
      </c>
      <c r="M9" s="25" t="s">
        <v>37</v>
      </c>
      <c r="N9" s="191" t="s">
        <v>205</v>
      </c>
      <c r="Q9" s="9"/>
      <c r="R9" s="25"/>
      <c r="U9" s="9"/>
      <c r="V9" s="9"/>
    </row>
    <row r="10" spans="1:22" x14ac:dyDescent="0.2">
      <c r="B10" s="31" t="s">
        <v>7</v>
      </c>
      <c r="C10" s="9"/>
      <c r="D10" s="12">
        <v>100</v>
      </c>
      <c r="E10" s="25" t="s">
        <v>42</v>
      </c>
      <c r="F10" s="194"/>
      <c r="G10" s="191" t="s">
        <v>233</v>
      </c>
      <c r="H10" s="54" t="s">
        <v>204</v>
      </c>
      <c r="Q10" s="9"/>
      <c r="R10" s="25"/>
      <c r="U10" s="9"/>
      <c r="V10" s="9"/>
    </row>
    <row r="11" spans="1:22" x14ac:dyDescent="0.2">
      <c r="B11" s="31" t="s">
        <v>8</v>
      </c>
      <c r="C11" s="9"/>
      <c r="D11" s="12">
        <v>5</v>
      </c>
      <c r="E11" s="25" t="s">
        <v>42</v>
      </c>
      <c r="F11" s="194"/>
      <c r="G11" s="191" t="s">
        <v>233</v>
      </c>
      <c r="H11" s="54" t="s">
        <v>204</v>
      </c>
      <c r="I11" s="113" t="s">
        <v>117</v>
      </c>
      <c r="Q11" s="9"/>
      <c r="R11" s="25"/>
      <c r="U11" s="9"/>
      <c r="V11" s="9"/>
    </row>
    <row r="12" spans="1:22" x14ac:dyDescent="0.2">
      <c r="B12" s="105" t="s">
        <v>10</v>
      </c>
      <c r="D12" s="12">
        <v>10</v>
      </c>
      <c r="E12" s="25" t="s">
        <v>42</v>
      </c>
      <c r="F12" s="194"/>
      <c r="G12" s="191" t="s">
        <v>237</v>
      </c>
      <c r="H12" s="54" t="s">
        <v>204</v>
      </c>
      <c r="I12" s="9" t="s">
        <v>60</v>
      </c>
      <c r="J12" s="9"/>
      <c r="K12" s="52" t="s">
        <v>36</v>
      </c>
      <c r="L12" s="52" t="s">
        <v>36</v>
      </c>
      <c r="M12" s="9"/>
      <c r="Q12" s="25"/>
      <c r="R12" s="25"/>
      <c r="U12" s="9"/>
      <c r="V12" s="9"/>
    </row>
    <row r="13" spans="1:22" ht="14.45" customHeight="1" x14ac:dyDescent="0.2">
      <c r="B13" s="31" t="s">
        <v>6</v>
      </c>
      <c r="C13" s="9"/>
      <c r="D13" s="10">
        <v>1.25</v>
      </c>
      <c r="E13" s="25" t="s">
        <v>55</v>
      </c>
      <c r="G13" s="191" t="s">
        <v>72</v>
      </c>
      <c r="H13" s="53" t="s">
        <v>204</v>
      </c>
      <c r="I13" s="9" t="str">
        <f>IF(K$12="yes","Unsat zone darcy velocity (+down)","Not used")</f>
        <v>Unsat zone darcy velocity (+down)</v>
      </c>
      <c r="J13" s="9"/>
      <c r="K13" s="118">
        <f>-3/360</f>
        <v>-8.3333333333333332E-3</v>
      </c>
      <c r="L13" s="118">
        <v>0</v>
      </c>
      <c r="M13" s="25" t="s">
        <v>15</v>
      </c>
      <c r="N13" s="191" t="s">
        <v>240</v>
      </c>
      <c r="Q13" s="97"/>
      <c r="R13" s="25"/>
      <c r="U13" s="9"/>
      <c r="V13" s="9"/>
    </row>
    <row r="14" spans="1:22" ht="13.9" customHeight="1" x14ac:dyDescent="0.2">
      <c r="B14" s="105"/>
      <c r="H14" s="53" t="s">
        <v>204</v>
      </c>
      <c r="I14" s="9" t="str">
        <f>IF(K$12="yes","Unsat zone total porosity","Not used")</f>
        <v>Unsat zone total porosity</v>
      </c>
      <c r="J14" s="9"/>
      <c r="K14" s="10">
        <v>0.4</v>
      </c>
      <c r="L14" s="10">
        <v>0.4</v>
      </c>
      <c r="M14" s="25" t="s">
        <v>55</v>
      </c>
      <c r="N14" s="191" t="s">
        <v>74</v>
      </c>
      <c r="U14" s="9"/>
      <c r="V14" s="9"/>
    </row>
    <row r="15" spans="1:22" ht="13.5" thickBot="1" x14ac:dyDescent="0.25">
      <c r="B15" s="129" t="s">
        <v>25</v>
      </c>
      <c r="C15" s="50" t="s">
        <v>68</v>
      </c>
      <c r="D15" s="6"/>
      <c r="E15" s="41"/>
      <c r="F15" s="195"/>
      <c r="G15" s="7"/>
      <c r="H15" s="55" t="s">
        <v>204</v>
      </c>
      <c r="I15" s="9" t="str">
        <f>IF(K$12="yes","Unsat zone air-filled porosity","Not used")</f>
        <v>Unsat zone air-filled porosity</v>
      </c>
      <c r="J15" s="9"/>
      <c r="K15" s="10">
        <v>0.2</v>
      </c>
      <c r="L15" s="10">
        <v>0.2</v>
      </c>
      <c r="M15" s="25" t="s">
        <v>55</v>
      </c>
      <c r="N15" s="191" t="s">
        <v>209</v>
      </c>
      <c r="U15" s="9"/>
      <c r="V15" s="9"/>
    </row>
    <row r="16" spans="1:22" ht="13.5" thickTop="1" x14ac:dyDescent="0.2">
      <c r="B16" s="31"/>
      <c r="C16" s="9"/>
      <c r="D16" s="9"/>
      <c r="E16" s="25"/>
      <c r="F16" s="28"/>
      <c r="G16" s="9"/>
      <c r="H16" s="53" t="s">
        <v>204</v>
      </c>
      <c r="I16" s="9" t="str">
        <f>IF(K$12="yes","Unsat zone thickness","Not used")</f>
        <v>Unsat zone thickness</v>
      </c>
      <c r="J16" s="9"/>
      <c r="K16" s="12">
        <v>2</v>
      </c>
      <c r="L16" s="12">
        <v>2</v>
      </c>
      <c r="M16" s="25" t="s">
        <v>16</v>
      </c>
      <c r="N16" s="191" t="s">
        <v>241</v>
      </c>
      <c r="U16" s="9"/>
      <c r="V16" s="9"/>
    </row>
    <row r="17" spans="2:22" x14ac:dyDescent="0.2">
      <c r="B17" s="105" t="s">
        <v>63</v>
      </c>
      <c r="D17" s="13">
        <v>1951</v>
      </c>
      <c r="E17" s="1" t="s">
        <v>56</v>
      </c>
      <c r="F17" s="196"/>
      <c r="G17" s="191" t="s">
        <v>238</v>
      </c>
      <c r="H17" s="56" t="s">
        <v>204</v>
      </c>
      <c r="I17" s="9" t="str">
        <f>IF(K$12="yes","Relative barometric P range","Not used")</f>
        <v>Relative barometric P range</v>
      </c>
      <c r="J17" s="9"/>
      <c r="K17" s="12">
        <v>1.4999999999999999E-2</v>
      </c>
      <c r="L17" s="12">
        <v>1.4999999999999999E-2</v>
      </c>
      <c r="M17" s="25" t="s">
        <v>55</v>
      </c>
      <c r="N17" s="191" t="s">
        <v>75</v>
      </c>
      <c r="U17" s="9"/>
      <c r="V17" s="9"/>
    </row>
    <row r="18" spans="2:22" x14ac:dyDescent="0.2">
      <c r="B18" s="105" t="s">
        <v>64</v>
      </c>
      <c r="D18" s="13">
        <v>1999</v>
      </c>
      <c r="E18" s="1" t="s">
        <v>57</v>
      </c>
      <c r="F18" s="197"/>
      <c r="G18" s="191"/>
      <c r="H18" s="55" t="s">
        <v>204</v>
      </c>
      <c r="I18" s="9" t="str">
        <f>IF(K$12="yes","Period of barometric P fluctuation","Not used")</f>
        <v>Period of barometric P fluctuation</v>
      </c>
      <c r="J18" s="9"/>
      <c r="K18" s="12">
        <v>3</v>
      </c>
      <c r="L18" s="12">
        <v>3</v>
      </c>
      <c r="M18" s="25" t="s">
        <v>38</v>
      </c>
      <c r="N18" s="192" t="s">
        <v>75</v>
      </c>
      <c r="U18" s="9"/>
      <c r="V18" s="9"/>
    </row>
    <row r="19" spans="2:22" x14ac:dyDescent="0.2">
      <c r="B19" s="105" t="s">
        <v>11</v>
      </c>
      <c r="D19" s="12">
        <v>2.7E-2</v>
      </c>
      <c r="E19" s="1" t="s">
        <v>58</v>
      </c>
      <c r="F19" s="194"/>
      <c r="G19" s="191" t="s">
        <v>239</v>
      </c>
      <c r="H19" s="57" t="s">
        <v>204</v>
      </c>
      <c r="I19" s="9" t="str">
        <f>IF(K$12="yes","Free air diffusion coefficient","Not used")</f>
        <v>Free air diffusion coefficient</v>
      </c>
      <c r="J19" s="9"/>
      <c r="K19" s="37">
        <v>0.70848</v>
      </c>
      <c r="L19" s="37">
        <v>0.70848</v>
      </c>
      <c r="M19" s="25" t="s">
        <v>39</v>
      </c>
      <c r="N19" s="191" t="s">
        <v>76</v>
      </c>
      <c r="U19" s="9"/>
      <c r="V19" s="9"/>
    </row>
    <row r="20" spans="2:22" x14ac:dyDescent="0.2">
      <c r="B20" s="105" t="s">
        <v>12</v>
      </c>
      <c r="D20" s="12">
        <v>100</v>
      </c>
      <c r="E20" s="1" t="s">
        <v>59</v>
      </c>
      <c r="F20" s="194"/>
      <c r="G20" s="191" t="s">
        <v>206</v>
      </c>
      <c r="H20" s="58" t="s">
        <v>204</v>
      </c>
      <c r="I20" s="9" t="str">
        <f>IF(K$12="yes","Henry's coefficient","Not used")</f>
        <v>Henry's coefficient</v>
      </c>
      <c r="J20" s="9"/>
      <c r="K20" s="12">
        <v>0.31</v>
      </c>
      <c r="L20" s="12">
        <v>0.31</v>
      </c>
      <c r="M20" s="25" t="s">
        <v>55</v>
      </c>
      <c r="N20" s="191" t="s">
        <v>48</v>
      </c>
      <c r="U20" s="9"/>
      <c r="V20" s="9"/>
    </row>
    <row r="21" spans="2:22" ht="15" customHeight="1" x14ac:dyDescent="0.2">
      <c r="B21" s="105" t="s">
        <v>14</v>
      </c>
      <c r="D21" s="12">
        <v>10</v>
      </c>
      <c r="E21" s="25" t="s">
        <v>42</v>
      </c>
      <c r="F21" s="198"/>
      <c r="G21" s="191" t="s">
        <v>71</v>
      </c>
      <c r="H21" s="58" t="s">
        <v>204</v>
      </c>
      <c r="I21" s="9" t="str">
        <f>IF(K$12="yes","Vertical GW dispersivity","Not used")</f>
        <v>Vertical GW dispersivity</v>
      </c>
      <c r="J21" s="9"/>
      <c r="K21" s="10">
        <v>0.3</v>
      </c>
      <c r="L21" s="10">
        <v>0.3</v>
      </c>
      <c r="M21" s="25" t="s">
        <v>37</v>
      </c>
      <c r="N21" s="191" t="s">
        <v>77</v>
      </c>
      <c r="U21" s="9"/>
      <c r="V21" s="9"/>
    </row>
    <row r="22" spans="2:22" ht="13.15" customHeight="1" x14ac:dyDescent="0.2">
      <c r="B22" s="105" t="s">
        <v>13</v>
      </c>
      <c r="D22" s="12">
        <v>0.8</v>
      </c>
      <c r="E22" s="1" t="s">
        <v>55</v>
      </c>
      <c r="F22" s="199"/>
      <c r="G22" s="191" t="s">
        <v>234</v>
      </c>
      <c r="H22" s="58" t="s">
        <v>204</v>
      </c>
      <c r="I22" s="107" t="s">
        <v>105</v>
      </c>
      <c r="J22" s="60"/>
      <c r="K22" s="10">
        <v>0.3</v>
      </c>
      <c r="L22" s="10">
        <v>0.3</v>
      </c>
      <c r="M22" s="25" t="s">
        <v>37</v>
      </c>
      <c r="N22" s="191" t="s">
        <v>77</v>
      </c>
      <c r="U22" s="9"/>
      <c r="V22" s="9"/>
    </row>
    <row r="23" spans="2:22" ht="13.15" customHeight="1" x14ac:dyDescent="0.2">
      <c r="B23" s="105" t="s">
        <v>80</v>
      </c>
      <c r="D23" s="12">
        <v>1.9E-2</v>
      </c>
      <c r="E23" s="1" t="s">
        <v>55</v>
      </c>
      <c r="F23" s="200" t="s">
        <v>128</v>
      </c>
      <c r="G23" s="191" t="s">
        <v>207</v>
      </c>
      <c r="H23" s="60" t="s">
        <v>204</v>
      </c>
      <c r="I23" s="9" t="str">
        <f>IF(K$12="yes","Volatilization coefficient (computed)","Not used")</f>
        <v>Volatilization coefficient (computed)</v>
      </c>
      <c r="J23" s="9"/>
      <c r="K23" s="276">
        <f>IF(K13=0,K58*K62*K20/$D12/K63,K13*K62/($D12*(EXP(K13*K63/K58/K20)-1)))</f>
        <v>2.6630856962705737E-4</v>
      </c>
      <c r="L23" s="276">
        <f>IF(L13=0,L58*L62*L20/$D12/L63,L13*L62/($D12*(EXP(L13*L63/L58/L20)-1)))</f>
        <v>1.8059237133822225E-4</v>
      </c>
      <c r="M23" s="25" t="s">
        <v>9</v>
      </c>
      <c r="U23" s="9"/>
      <c r="V23" s="9"/>
    </row>
    <row r="24" spans="2:22" ht="12.6" customHeight="1" x14ac:dyDescent="0.2">
      <c r="B24" s="105" t="s">
        <v>109</v>
      </c>
      <c r="C24" s="9"/>
      <c r="D24" s="115">
        <v>2005</v>
      </c>
      <c r="E24" s="1" t="s">
        <v>57</v>
      </c>
      <c r="F24" s="199"/>
      <c r="G24" s="191"/>
      <c r="H24" s="59" t="s">
        <v>204</v>
      </c>
      <c r="U24" s="9"/>
      <c r="V24" s="9"/>
    </row>
    <row r="25" spans="2:22" ht="13.15" customHeight="1" x14ac:dyDescent="0.2">
      <c r="B25" s="105" t="s">
        <v>217</v>
      </c>
      <c r="C25" s="9"/>
      <c r="D25" s="13">
        <v>50</v>
      </c>
      <c r="E25" s="1" t="s">
        <v>218</v>
      </c>
      <c r="F25" s="194"/>
      <c r="G25" s="189"/>
      <c r="H25" s="60" t="s">
        <v>204</v>
      </c>
      <c r="I25" s="105" t="s">
        <v>118</v>
      </c>
      <c r="K25" s="112">
        <f>IF(K12="yes",SUM(K8,K23),K8)</f>
        <v>4.2630856962705735E-4</v>
      </c>
      <c r="L25" s="112">
        <f>IF(L12="yes",SUM(L8,L23),L8)</f>
        <v>3.4059237133822224E-4</v>
      </c>
      <c r="M25" s="25" t="s">
        <v>9</v>
      </c>
      <c r="U25" s="9"/>
      <c r="V25" s="9"/>
    </row>
    <row r="26" spans="2:22" x14ac:dyDescent="0.2">
      <c r="B26" s="105" t="s">
        <v>161</v>
      </c>
      <c r="C26" s="9"/>
      <c r="D26" s="10">
        <v>1</v>
      </c>
      <c r="E26" s="1" t="s">
        <v>55</v>
      </c>
      <c r="F26" s="194"/>
      <c r="G26" s="189"/>
      <c r="H26" s="60" t="s">
        <v>204</v>
      </c>
      <c r="I26" s="105"/>
      <c r="U26" s="9"/>
      <c r="V26" s="9"/>
    </row>
    <row r="27" spans="2:22" x14ac:dyDescent="0.2">
      <c r="B27" s="105" t="s">
        <v>122</v>
      </c>
      <c r="C27" s="9"/>
      <c r="D27" s="145">
        <v>0</v>
      </c>
      <c r="E27" s="1" t="s">
        <v>55</v>
      </c>
      <c r="F27" s="194"/>
      <c r="G27" s="190"/>
      <c r="H27" s="15" t="s">
        <v>204</v>
      </c>
      <c r="U27" s="9"/>
      <c r="V27" s="9"/>
    </row>
    <row r="28" spans="2:22" x14ac:dyDescent="0.2">
      <c r="F28" s="28"/>
      <c r="G28" s="9"/>
      <c r="H28" s="15"/>
      <c r="U28" s="9"/>
      <c r="V28" s="9"/>
    </row>
    <row r="29" spans="2:22" x14ac:dyDescent="0.2">
      <c r="H29" s="15"/>
      <c r="I29" s="132" t="s">
        <v>144</v>
      </c>
      <c r="K29" s="82"/>
      <c r="L29" s="82"/>
      <c r="U29" s="9"/>
      <c r="V29" s="9"/>
    </row>
    <row r="30" spans="2:22" x14ac:dyDescent="0.2">
      <c r="B30" s="51"/>
      <c r="H30" s="15"/>
      <c r="I30" s="132" t="s">
        <v>146</v>
      </c>
      <c r="U30" s="9"/>
      <c r="V30" s="9"/>
    </row>
    <row r="31" spans="2:22" x14ac:dyDescent="0.2">
      <c r="U31" s="9"/>
      <c r="V31" s="9"/>
    </row>
    <row r="32" spans="2:22" x14ac:dyDescent="0.2">
      <c r="H32" s="15"/>
      <c r="U32" s="9"/>
      <c r="V32" s="9"/>
    </row>
    <row r="33" spans="2:22" x14ac:dyDescent="0.2">
      <c r="H33" s="15"/>
      <c r="U33" s="9"/>
      <c r="V33" s="9"/>
    </row>
    <row r="34" spans="2:22" x14ac:dyDescent="0.2">
      <c r="H34" s="15"/>
      <c r="U34" s="9"/>
      <c r="V34" s="9"/>
    </row>
    <row r="35" spans="2:22" x14ac:dyDescent="0.2">
      <c r="B35" s="35"/>
      <c r="H35" s="15"/>
      <c r="U35" s="9"/>
      <c r="V35" s="9"/>
    </row>
    <row r="36" spans="2:22" x14ac:dyDescent="0.2">
      <c r="B36" s="35"/>
      <c r="H36" s="15"/>
      <c r="K36" s="9"/>
      <c r="L36" s="9"/>
      <c r="U36" s="9"/>
      <c r="V36" s="9"/>
    </row>
    <row r="37" spans="2:22" x14ac:dyDescent="0.2">
      <c r="B37" s="35"/>
      <c r="H37" s="15"/>
      <c r="K37" s="9"/>
      <c r="L37" s="9"/>
      <c r="U37" s="9"/>
      <c r="V37" s="9"/>
    </row>
    <row r="38" spans="2:22" x14ac:dyDescent="0.2">
      <c r="B38" s="35"/>
      <c r="H38" s="15"/>
      <c r="K38" s="9"/>
      <c r="L38" s="9"/>
      <c r="U38" s="9"/>
      <c r="V38" s="9"/>
    </row>
    <row r="39" spans="2:22" x14ac:dyDescent="0.2">
      <c r="B39" s="35"/>
      <c r="H39" s="15"/>
      <c r="K39" s="9"/>
      <c r="L39" s="9"/>
      <c r="U39" s="9"/>
      <c r="V39" s="9"/>
    </row>
    <row r="40" spans="2:22" x14ac:dyDescent="0.2">
      <c r="B40" s="35"/>
      <c r="H40" s="15"/>
      <c r="K40" s="9"/>
      <c r="L40" s="9"/>
      <c r="U40" s="9"/>
      <c r="V40" s="9"/>
    </row>
    <row r="41" spans="2:22" x14ac:dyDescent="0.2">
      <c r="B41" s="35"/>
      <c r="H41" s="15"/>
      <c r="K41" s="9"/>
      <c r="L41" s="9"/>
      <c r="U41" s="9"/>
      <c r="V41" s="9"/>
    </row>
    <row r="42" spans="2:22" x14ac:dyDescent="0.2">
      <c r="B42" s="35"/>
      <c r="H42" s="15"/>
      <c r="K42" s="9"/>
      <c r="L42" s="9"/>
      <c r="U42" s="9"/>
      <c r="V42" s="9"/>
    </row>
    <row r="43" spans="2:22" x14ac:dyDescent="0.2">
      <c r="B43" s="35"/>
      <c r="H43" s="15"/>
      <c r="K43" s="9"/>
      <c r="L43" s="9"/>
      <c r="U43" s="9"/>
      <c r="V43" s="9"/>
    </row>
    <row r="44" spans="2:22" x14ac:dyDescent="0.2">
      <c r="B44" s="35"/>
      <c r="H44" s="15"/>
      <c r="K44" s="9"/>
      <c r="L44" s="9"/>
      <c r="U44" s="9"/>
      <c r="V44" s="9"/>
    </row>
    <row r="45" spans="2:22" x14ac:dyDescent="0.2">
      <c r="B45" s="35"/>
      <c r="H45" s="15"/>
      <c r="K45" s="9"/>
      <c r="L45" s="9"/>
      <c r="U45" s="9"/>
      <c r="V45" s="9"/>
    </row>
    <row r="46" spans="2:22" x14ac:dyDescent="0.2">
      <c r="B46" s="35"/>
      <c r="H46" s="15"/>
      <c r="K46" s="9"/>
      <c r="L46" s="9"/>
      <c r="U46" s="9"/>
      <c r="V46" s="9"/>
    </row>
    <row r="47" spans="2:22" x14ac:dyDescent="0.2">
      <c r="B47" s="35"/>
      <c r="H47" s="15"/>
      <c r="K47" s="9"/>
      <c r="L47" s="9"/>
      <c r="U47" s="9"/>
      <c r="V47" s="9"/>
    </row>
    <row r="48" spans="2:22" x14ac:dyDescent="0.2">
      <c r="B48" s="35"/>
      <c r="H48" s="15"/>
      <c r="K48" s="9"/>
      <c r="L48" s="9"/>
      <c r="U48" s="9"/>
      <c r="V48" s="9"/>
    </row>
    <row r="49" spans="2:22" x14ac:dyDescent="0.2">
      <c r="B49" s="35"/>
      <c r="H49" s="15"/>
      <c r="K49" s="9"/>
      <c r="L49" s="9"/>
      <c r="U49" s="9"/>
      <c r="V49" s="9"/>
    </row>
    <row r="50" spans="2:22" x14ac:dyDescent="0.2">
      <c r="B50" s="35"/>
      <c r="H50" s="15"/>
      <c r="K50" s="9"/>
      <c r="L50" s="9"/>
      <c r="U50" s="9"/>
      <c r="V50" s="9"/>
    </row>
    <row r="51" spans="2:22" x14ac:dyDescent="0.2">
      <c r="B51" s="35"/>
      <c r="H51" s="15"/>
      <c r="K51" s="9"/>
      <c r="L51" s="9"/>
      <c r="U51" s="9"/>
      <c r="V51" s="9"/>
    </row>
    <row r="52" spans="2:22" x14ac:dyDescent="0.2">
      <c r="K52" s="9"/>
      <c r="L52" s="9"/>
      <c r="U52" s="9"/>
      <c r="V52" s="9"/>
    </row>
    <row r="53" spans="2:22" x14ac:dyDescent="0.2">
      <c r="K53" s="9"/>
      <c r="L53" s="9"/>
      <c r="U53" s="9"/>
      <c r="V53" s="9"/>
    </row>
    <row r="54" spans="2:22" x14ac:dyDescent="0.2">
      <c r="I54" s="47" t="s">
        <v>53</v>
      </c>
      <c r="J54" s="47"/>
      <c r="K54" s="75" t="s">
        <v>148</v>
      </c>
      <c r="L54" s="75" t="s">
        <v>149</v>
      </c>
      <c r="M54" s="47"/>
      <c r="U54" s="9"/>
      <c r="V54" s="9"/>
    </row>
    <row r="55" spans="2:22" x14ac:dyDescent="0.2">
      <c r="C55" s="3"/>
      <c r="I55" s="3" t="s">
        <v>47</v>
      </c>
      <c r="K55" s="39">
        <f>K19*0.0001</f>
        <v>7.0847999999999997E-5</v>
      </c>
      <c r="L55" s="39">
        <f>L19*0.0001</f>
        <v>7.0847999999999997E-5</v>
      </c>
      <c r="M55" s="8" t="s">
        <v>26</v>
      </c>
      <c r="U55" s="9"/>
      <c r="V55" s="9"/>
    </row>
    <row r="56" spans="2:22" x14ac:dyDescent="0.2">
      <c r="C56" s="3"/>
      <c r="I56" s="3" t="s">
        <v>49</v>
      </c>
      <c r="K56" s="8">
        <f>0.00002</f>
        <v>2.0000000000000002E-5</v>
      </c>
      <c r="L56" s="8">
        <f>0.00002</f>
        <v>2.0000000000000002E-5</v>
      </c>
      <c r="M56" s="8" t="s">
        <v>50</v>
      </c>
      <c r="U56" s="9"/>
      <c r="V56" s="9"/>
    </row>
    <row r="57" spans="2:22" x14ac:dyDescent="0.2">
      <c r="C57" s="3"/>
      <c r="I57" s="3" t="s">
        <v>51</v>
      </c>
      <c r="K57" s="40">
        <v>100000</v>
      </c>
      <c r="L57" s="40">
        <v>100000</v>
      </c>
      <c r="M57" s="8" t="s">
        <v>52</v>
      </c>
      <c r="U57" s="9"/>
      <c r="V57" s="9"/>
    </row>
    <row r="58" spans="2:22" x14ac:dyDescent="0.2">
      <c r="C58" s="3"/>
      <c r="I58" s="3" t="s">
        <v>40</v>
      </c>
      <c r="K58" s="11">
        <f>K15*K17*K63^2*K22/K63/K18+K15^3.3/K14^2*K19</f>
        <v>2.2457807552993637E-2</v>
      </c>
      <c r="L58" s="11">
        <f>L15*L17*L63^2*L22/L63/L18+L15^3.3/L14^2*L19</f>
        <v>2.2457807552993637E-2</v>
      </c>
      <c r="M58" s="8" t="s">
        <v>26</v>
      </c>
      <c r="U58" s="9"/>
      <c r="V58" s="9"/>
    </row>
    <row r="59" spans="2:22" x14ac:dyDescent="0.2">
      <c r="C59" s="3"/>
      <c r="I59" s="3" t="s">
        <v>41</v>
      </c>
      <c r="K59" s="14">
        <f>K55*$D9^1.3+K65*K21</f>
        <v>1.876481102878547E-2</v>
      </c>
      <c r="L59" s="14">
        <f>L55*$D9^1.3+L65*L21</f>
        <v>1.876481102878547E-2</v>
      </c>
      <c r="M59" s="8" t="s">
        <v>26</v>
      </c>
      <c r="U59" s="9"/>
      <c r="V59" s="9"/>
    </row>
    <row r="60" spans="2:22" x14ac:dyDescent="0.2">
      <c r="C60" s="3"/>
      <c r="I60" s="3" t="s">
        <v>43</v>
      </c>
      <c r="K60" s="5">
        <f>K20*K64/2/K59</f>
        <v>82.601418027726439</v>
      </c>
      <c r="L60" s="5">
        <f>L20*L64/2/L59</f>
        <v>82.601418027726439</v>
      </c>
      <c r="M60" s="8" t="s">
        <v>44</v>
      </c>
      <c r="U60" s="9"/>
      <c r="V60" s="9"/>
    </row>
    <row r="61" spans="2:22" x14ac:dyDescent="0.2">
      <c r="C61" s="3"/>
      <c r="I61" s="3" t="s">
        <v>45</v>
      </c>
      <c r="K61" s="5">
        <f>IF(K13=0,K63/K58,K20/K13*(EXP(K13*K63/K58/K20)-1))</f>
        <v>33.804899814064669</v>
      </c>
      <c r="L61" s="11">
        <f>IF(L13=0,L63/L58,L20/L13*(EXP(L13*L63/L58/L20)-1))</f>
        <v>89.055888259822538</v>
      </c>
      <c r="M61" s="8" t="s">
        <v>44</v>
      </c>
      <c r="U61" s="9"/>
      <c r="V61" s="9"/>
    </row>
    <row r="62" spans="2:22" x14ac:dyDescent="0.2">
      <c r="C62" s="3"/>
      <c r="I62" s="3" t="s">
        <v>46</v>
      </c>
      <c r="K62" s="11">
        <f>IF(K61=0,0,1/(1+K60/K61))</f>
        <v>0.29040433922159808</v>
      </c>
      <c r="L62" s="11">
        <f>IF(L61=0,0,1/(1+L60/L61))</f>
        <v>0.51880045298300326</v>
      </c>
      <c r="M62" s="8" t="s">
        <v>119</v>
      </c>
    </row>
    <row r="63" spans="2:22" x14ac:dyDescent="0.2">
      <c r="C63" s="3"/>
      <c r="I63" s="69" t="s">
        <v>73</v>
      </c>
      <c r="K63" s="18">
        <f>MAX(K16,0.001)</f>
        <v>2</v>
      </c>
      <c r="L63" s="4">
        <f>MAX(L16,0.001)</f>
        <v>2</v>
      </c>
      <c r="M63" s="114" t="s">
        <v>42</v>
      </c>
    </row>
    <row r="64" spans="2:22" x14ac:dyDescent="0.2">
      <c r="I64" s="69" t="s">
        <v>10</v>
      </c>
      <c r="K64" s="15">
        <f>$D12</f>
        <v>10</v>
      </c>
      <c r="L64" s="15">
        <f>K64</f>
        <v>10</v>
      </c>
      <c r="M64" s="1"/>
    </row>
    <row r="65" spans="2:13" x14ac:dyDescent="0.2">
      <c r="D65" s="36"/>
      <c r="I65" s="3" t="s">
        <v>27</v>
      </c>
      <c r="K65" s="11">
        <f>D8</f>
        <v>6.2500000000000014E-2</v>
      </c>
      <c r="L65" s="11">
        <f>K65*K64/L64</f>
        <v>6.2500000000000014E-2</v>
      </c>
    </row>
    <row r="66" spans="2:13" x14ac:dyDescent="0.2">
      <c r="D66" s="36"/>
    </row>
    <row r="68" spans="2:13" x14ac:dyDescent="0.2">
      <c r="D68" s="36"/>
      <c r="I68" s="47" t="s">
        <v>147</v>
      </c>
      <c r="J68" s="47"/>
      <c r="K68" s="47"/>
      <c r="L68" s="47"/>
      <c r="M68" s="47"/>
    </row>
    <row r="69" spans="2:13" x14ac:dyDescent="0.2">
      <c r="B69" s="16"/>
      <c r="C69" s="16"/>
      <c r="D69" s="42"/>
      <c r="E69" s="46"/>
      <c r="H69" s="43"/>
      <c r="I69" s="3" t="s">
        <v>11</v>
      </c>
      <c r="J69" s="3"/>
      <c r="K69" s="3" t="s">
        <v>2</v>
      </c>
      <c r="L69" s="8">
        <f>D19</f>
        <v>2.7E-2</v>
      </c>
      <c r="M69" s="3" t="s">
        <v>58</v>
      </c>
    </row>
    <row r="70" spans="2:13" x14ac:dyDescent="0.2">
      <c r="B70" s="16"/>
      <c r="C70" s="16"/>
      <c r="D70" s="42"/>
      <c r="E70" s="46"/>
      <c r="H70" s="43"/>
      <c r="I70" s="3" t="s">
        <v>12</v>
      </c>
      <c r="J70" s="3"/>
      <c r="K70" s="3" t="s">
        <v>3</v>
      </c>
      <c r="L70" s="8">
        <f>D20</f>
        <v>100</v>
      </c>
      <c r="M70" s="3" t="s">
        <v>59</v>
      </c>
    </row>
    <row r="71" spans="2:13" x14ac:dyDescent="0.2">
      <c r="B71" s="16"/>
      <c r="C71" s="16"/>
      <c r="D71" s="42"/>
      <c r="E71" s="46"/>
      <c r="H71" s="43"/>
      <c r="I71" s="3" t="s">
        <v>13</v>
      </c>
      <c r="J71" s="3"/>
      <c r="K71" s="3" t="s">
        <v>0</v>
      </c>
      <c r="L71" s="5">
        <f>D22</f>
        <v>0.8</v>
      </c>
      <c r="M71" s="3" t="s">
        <v>119</v>
      </c>
    </row>
    <row r="72" spans="2:13" x14ac:dyDescent="0.2">
      <c r="B72" s="16"/>
      <c r="C72" s="16"/>
      <c r="D72" s="42"/>
      <c r="E72" s="46"/>
      <c r="H72" s="43"/>
      <c r="I72" s="3" t="s">
        <v>106</v>
      </c>
      <c r="J72" s="3"/>
      <c r="K72" s="3" t="s">
        <v>1</v>
      </c>
      <c r="L72" s="8">
        <f>D21</f>
        <v>10</v>
      </c>
      <c r="M72" s="3" t="s">
        <v>16</v>
      </c>
    </row>
    <row r="73" spans="2:13" x14ac:dyDescent="0.2">
      <c r="B73" s="16"/>
      <c r="C73" s="16"/>
      <c r="D73" s="42"/>
      <c r="E73" s="46"/>
      <c r="H73" s="43"/>
      <c r="I73" s="3" t="s">
        <v>10</v>
      </c>
      <c r="J73" s="3"/>
      <c r="K73" s="3" t="s">
        <v>28</v>
      </c>
      <c r="L73" s="8">
        <f>D12</f>
        <v>10</v>
      </c>
      <c r="M73" s="3" t="s">
        <v>16</v>
      </c>
    </row>
    <row r="74" spans="2:13" x14ac:dyDescent="0.2">
      <c r="B74" s="16"/>
      <c r="C74" s="16"/>
      <c r="D74" s="45"/>
      <c r="E74" s="46"/>
      <c r="H74" s="43"/>
      <c r="I74" s="3" t="s">
        <v>107</v>
      </c>
      <c r="J74" s="3"/>
      <c r="K74" s="3" t="s">
        <v>4</v>
      </c>
      <c r="L74" s="133">
        <f>D17</f>
        <v>1951</v>
      </c>
      <c r="M74" s="3" t="s">
        <v>163</v>
      </c>
    </row>
    <row r="75" spans="2:13" x14ac:dyDescent="0.2">
      <c r="B75" s="16"/>
      <c r="C75" s="16"/>
      <c r="D75" s="45"/>
      <c r="E75" s="46"/>
      <c r="H75" s="43"/>
      <c r="I75" s="3" t="s">
        <v>154</v>
      </c>
      <c r="J75" s="3"/>
      <c r="K75" s="3" t="s">
        <v>29</v>
      </c>
      <c r="L75" s="133">
        <f>D18</f>
        <v>1999</v>
      </c>
      <c r="M75" s="3" t="s">
        <v>163</v>
      </c>
    </row>
    <row r="76" spans="2:13" x14ac:dyDescent="0.2">
      <c r="B76" s="16"/>
      <c r="C76" s="16"/>
      <c r="D76" s="46"/>
      <c r="E76" s="46"/>
      <c r="H76" s="43"/>
      <c r="I76" s="3" t="s">
        <v>171</v>
      </c>
      <c r="J76" s="3"/>
      <c r="K76" s="3" t="s">
        <v>30</v>
      </c>
      <c r="L76" s="11">
        <f>D8</f>
        <v>6.2500000000000014E-2</v>
      </c>
      <c r="M76" s="3" t="s">
        <v>15</v>
      </c>
    </row>
    <row r="77" spans="2:13" x14ac:dyDescent="0.2">
      <c r="B77" s="16"/>
      <c r="C77" s="16"/>
      <c r="D77" s="46"/>
      <c r="E77" s="46"/>
      <c r="H77" s="43"/>
      <c r="I77" s="3" t="s">
        <v>5</v>
      </c>
      <c r="J77" s="3"/>
      <c r="K77" s="3" t="s">
        <v>31</v>
      </c>
      <c r="L77" s="11">
        <f>D9</f>
        <v>0.3</v>
      </c>
      <c r="M77" s="3" t="s">
        <v>119</v>
      </c>
    </row>
    <row r="78" spans="2:13" x14ac:dyDescent="0.2">
      <c r="B78" s="16"/>
      <c r="C78" s="16"/>
      <c r="D78" s="46"/>
      <c r="E78" s="46"/>
      <c r="H78" s="43"/>
      <c r="I78" s="3" t="s">
        <v>6</v>
      </c>
      <c r="J78" s="3"/>
      <c r="K78" s="3" t="s">
        <v>32</v>
      </c>
      <c r="L78" s="5">
        <f>D13</f>
        <v>1.25</v>
      </c>
      <c r="M78" s="3" t="s">
        <v>119</v>
      </c>
    </row>
    <row r="79" spans="2:13" x14ac:dyDescent="0.2">
      <c r="B79" s="16"/>
      <c r="C79" s="16"/>
      <c r="D79" s="46"/>
      <c r="E79" s="46"/>
      <c r="H79" s="43"/>
      <c r="I79" s="3" t="s">
        <v>7</v>
      </c>
      <c r="J79" s="3"/>
      <c r="K79" s="3" t="s">
        <v>34</v>
      </c>
      <c r="L79" s="15">
        <f>D10</f>
        <v>100</v>
      </c>
      <c r="M79" s="3" t="s">
        <v>16</v>
      </c>
    </row>
    <row r="80" spans="2:13" x14ac:dyDescent="0.2">
      <c r="B80" s="16"/>
      <c r="C80" s="16"/>
      <c r="D80" s="46"/>
      <c r="E80" s="46"/>
      <c r="H80" s="43"/>
      <c r="I80" s="3" t="s">
        <v>8</v>
      </c>
      <c r="J80" s="3"/>
      <c r="K80" s="3" t="s">
        <v>35</v>
      </c>
      <c r="L80" s="15">
        <f>D11</f>
        <v>5</v>
      </c>
      <c r="M80" s="3" t="s">
        <v>16</v>
      </c>
    </row>
    <row r="81" spans="2:13" x14ac:dyDescent="0.2">
      <c r="B81" s="16"/>
      <c r="C81" s="16"/>
      <c r="D81" s="64"/>
      <c r="E81" s="44"/>
      <c r="H81" s="64"/>
      <c r="I81" s="3" t="s">
        <v>156</v>
      </c>
      <c r="J81" s="3"/>
      <c r="K81" s="3" t="s">
        <v>79</v>
      </c>
      <c r="L81" s="11">
        <f>D23</f>
        <v>1.9E-2</v>
      </c>
      <c r="M81" s="3" t="s">
        <v>119</v>
      </c>
    </row>
    <row r="82" spans="2:13" x14ac:dyDescent="0.2">
      <c r="B82" s="16"/>
      <c r="C82" s="16"/>
      <c r="D82" s="76"/>
      <c r="E82" s="66"/>
      <c r="H82" s="43"/>
      <c r="I82" s="3" t="s">
        <v>157</v>
      </c>
      <c r="J82" s="3"/>
      <c r="K82" s="3" t="s">
        <v>112</v>
      </c>
      <c r="L82" s="106">
        <f>K25</f>
        <v>4.2630856962705735E-4</v>
      </c>
      <c r="M82" s="3" t="s">
        <v>17</v>
      </c>
    </row>
    <row r="83" spans="2:13" x14ac:dyDescent="0.2">
      <c r="B83" s="16"/>
      <c r="C83" s="16"/>
      <c r="D83" s="34"/>
      <c r="E83" s="34"/>
      <c r="H83" s="4"/>
      <c r="I83" s="3" t="s">
        <v>111</v>
      </c>
      <c r="J83" s="3"/>
      <c r="K83" s="3" t="s">
        <v>110</v>
      </c>
      <c r="L83" s="8">
        <f>K9</f>
        <v>1000</v>
      </c>
      <c r="M83" s="3" t="s">
        <v>16</v>
      </c>
    </row>
    <row r="84" spans="2:13" x14ac:dyDescent="0.2">
      <c r="B84" s="16"/>
      <c r="C84" s="16"/>
      <c r="D84" s="34"/>
      <c r="E84" s="34"/>
      <c r="H84" s="4"/>
      <c r="I84" s="3" t="s">
        <v>158</v>
      </c>
      <c r="J84" s="3"/>
      <c r="K84" s="3" t="s">
        <v>113</v>
      </c>
      <c r="L84" s="106">
        <f>L25</f>
        <v>3.4059237133822224E-4</v>
      </c>
      <c r="M84" s="3" t="s">
        <v>17</v>
      </c>
    </row>
    <row r="85" spans="2:13" x14ac:dyDescent="0.2">
      <c r="B85" s="16"/>
      <c r="C85" s="16"/>
      <c r="D85" s="34"/>
      <c r="E85" s="34"/>
      <c r="H85" s="4"/>
      <c r="I85" s="3" t="s">
        <v>109</v>
      </c>
      <c r="J85" s="3"/>
      <c r="K85" s="3" t="s">
        <v>92</v>
      </c>
      <c r="L85" s="133">
        <f>D24</f>
        <v>2005</v>
      </c>
      <c r="M85" s="3" t="s">
        <v>163</v>
      </c>
    </row>
    <row r="86" spans="2:13" x14ac:dyDescent="0.2">
      <c r="B86" s="16"/>
      <c r="C86" s="16"/>
      <c r="D86" s="34"/>
      <c r="E86" s="34"/>
      <c r="H86" s="4"/>
      <c r="I86" s="3" t="s">
        <v>217</v>
      </c>
      <c r="J86" s="3"/>
      <c r="K86" s="3" t="s">
        <v>93</v>
      </c>
      <c r="L86" s="5">
        <f>D25</f>
        <v>50</v>
      </c>
      <c r="M86" s="3" t="s">
        <v>218</v>
      </c>
    </row>
    <row r="87" spans="2:13" x14ac:dyDescent="0.2">
      <c r="B87" s="16"/>
      <c r="C87" s="16"/>
      <c r="D87" s="34"/>
      <c r="E87" s="34"/>
      <c r="H87" s="4"/>
      <c r="I87" s="3" t="s">
        <v>161</v>
      </c>
      <c r="J87" s="3"/>
      <c r="K87" s="3" t="s">
        <v>95</v>
      </c>
      <c r="L87" s="5">
        <f>D26</f>
        <v>1</v>
      </c>
      <c r="M87" s="3" t="s">
        <v>119</v>
      </c>
    </row>
    <row r="88" spans="2:13" x14ac:dyDescent="0.2">
      <c r="B88" s="16"/>
      <c r="C88" s="16"/>
      <c r="D88" s="34"/>
      <c r="E88" s="34"/>
      <c r="H88" s="4"/>
      <c r="I88" s="3" t="s">
        <v>162</v>
      </c>
      <c r="J88" s="3"/>
      <c r="K88" s="3" t="s">
        <v>96</v>
      </c>
      <c r="L88" s="5">
        <f>D27</f>
        <v>0</v>
      </c>
      <c r="M88" s="3" t="s">
        <v>119</v>
      </c>
    </row>
    <row r="89" spans="2:13" x14ac:dyDescent="0.2">
      <c r="B89" s="16"/>
      <c r="C89" s="16"/>
      <c r="D89" s="34"/>
      <c r="E89" s="34"/>
      <c r="H89" s="4"/>
      <c r="I89" s="3"/>
      <c r="J89" s="3"/>
      <c r="K89" s="3"/>
      <c r="L89" s="5"/>
      <c r="M89" s="3"/>
    </row>
    <row r="90" spans="2:13" x14ac:dyDescent="0.2">
      <c r="B90" s="16"/>
      <c r="C90" s="16"/>
      <c r="D90" s="34"/>
      <c r="E90" s="34"/>
      <c r="H90" s="4"/>
      <c r="I90" s="3"/>
      <c r="J90" s="3"/>
      <c r="K90" s="3"/>
      <c r="L90" s="5"/>
      <c r="M90" s="3"/>
    </row>
    <row r="91" spans="2:13" x14ac:dyDescent="0.2">
      <c r="B91" s="16"/>
      <c r="C91" s="16"/>
      <c r="D91" s="34"/>
      <c r="E91" s="34"/>
      <c r="F91" s="19"/>
      <c r="G91" s="4"/>
      <c r="H91" s="4"/>
      <c r="I91" s="3"/>
      <c r="J91" s="8"/>
      <c r="K91" s="3"/>
      <c r="L91" s="16"/>
      <c r="M91" s="3"/>
    </row>
    <row r="92" spans="2:13" x14ac:dyDescent="0.2">
      <c r="B92" s="16"/>
      <c r="C92" s="16"/>
      <c r="D92" s="34"/>
      <c r="E92" s="34"/>
      <c r="F92" s="19"/>
      <c r="G92" s="4"/>
      <c r="H92" s="4"/>
      <c r="I92" s="34"/>
      <c r="J92" s="34"/>
      <c r="K92" s="3"/>
      <c r="L92" s="16"/>
      <c r="M92" s="3"/>
    </row>
    <row r="93" spans="2:13" x14ac:dyDescent="0.2">
      <c r="B93" s="16"/>
      <c r="C93" s="16"/>
      <c r="D93" s="34"/>
      <c r="E93" s="34"/>
      <c r="F93" s="19"/>
      <c r="G93" s="4"/>
      <c r="H93" s="4"/>
      <c r="I93" s="34"/>
      <c r="J93" s="34"/>
      <c r="K93" s="3"/>
      <c r="L93" s="16"/>
      <c r="M93" s="3"/>
    </row>
    <row r="94" spans="2:13" x14ac:dyDescent="0.2">
      <c r="B94" s="16"/>
      <c r="C94" s="16"/>
      <c r="D94" s="30"/>
      <c r="E94" s="17"/>
      <c r="F94" s="201"/>
      <c r="G94" s="5"/>
      <c r="H94" s="5"/>
      <c r="I94" s="16"/>
      <c r="J94" s="16"/>
      <c r="K94" s="3"/>
      <c r="L94" s="16"/>
      <c r="M94" s="3"/>
    </row>
    <row r="95" spans="2:13" x14ac:dyDescent="0.2">
      <c r="B95" s="16"/>
      <c r="C95" s="16"/>
      <c r="D95" s="30"/>
      <c r="E95" s="17"/>
      <c r="F95" s="201"/>
      <c r="G95" s="5"/>
      <c r="H95" s="5"/>
      <c r="I95" s="4"/>
      <c r="J95" s="4"/>
      <c r="K95" s="3"/>
      <c r="L95" s="16"/>
      <c r="M95" s="3"/>
    </row>
    <row r="96" spans="2:13" x14ac:dyDescent="0.2">
      <c r="B96" s="16"/>
      <c r="C96" s="16"/>
      <c r="D96" s="18"/>
      <c r="E96" s="17"/>
      <c r="F96" s="201"/>
      <c r="G96" s="5"/>
      <c r="H96" s="5"/>
      <c r="I96" s="4"/>
      <c r="J96" s="4"/>
      <c r="K96" s="3"/>
      <c r="L96" s="16"/>
      <c r="M96" s="3"/>
    </row>
    <row r="97" spans="2:16" x14ac:dyDescent="0.2">
      <c r="B97" s="16"/>
      <c r="C97" s="16"/>
      <c r="D97" s="18"/>
      <c r="E97" s="17"/>
      <c r="F97" s="201"/>
      <c r="G97" s="5"/>
      <c r="H97" s="5"/>
      <c r="I97" s="4"/>
      <c r="J97" s="4"/>
      <c r="K97" s="3"/>
      <c r="L97" s="3"/>
      <c r="M97" s="3"/>
    </row>
    <row r="98" spans="2:16" x14ac:dyDescent="0.2">
      <c r="B98" s="16"/>
      <c r="C98" s="16"/>
      <c r="D98" s="4"/>
      <c r="E98" s="17"/>
      <c r="F98" s="201"/>
      <c r="G98" s="5"/>
      <c r="H98" s="5"/>
      <c r="I98" s="4"/>
      <c r="J98" s="4"/>
      <c r="K98" s="3"/>
      <c r="L98" s="3"/>
      <c r="M98" s="3"/>
    </row>
    <row r="99" spans="2:16" x14ac:dyDescent="0.2">
      <c r="B99" s="19"/>
      <c r="C99" s="19"/>
      <c r="D99" s="33"/>
      <c r="E99" s="4"/>
      <c r="F99" s="19"/>
      <c r="G99" s="4"/>
      <c r="I99" s="3"/>
      <c r="J99" s="3"/>
      <c r="K99" s="3"/>
      <c r="L99" s="3"/>
      <c r="M99" s="3"/>
    </row>
    <row r="100" spans="2:16" s="3" customFormat="1" x14ac:dyDescent="0.2">
      <c r="B100" s="16"/>
      <c r="C100" s="16"/>
      <c r="D100" s="30"/>
      <c r="E100" s="16"/>
      <c r="F100" s="202"/>
      <c r="G100" s="17"/>
      <c r="H100" s="11"/>
      <c r="P100" s="8"/>
    </row>
    <row r="101" spans="2:16" x14ac:dyDescent="0.2">
      <c r="B101" s="9"/>
      <c r="C101" s="9"/>
      <c r="D101" s="9"/>
      <c r="E101" s="9"/>
      <c r="F101" s="28"/>
      <c r="G101" s="9"/>
    </row>
    <row r="102" spans="2:16" x14ac:dyDescent="0.2">
      <c r="B102" s="9"/>
      <c r="C102" s="9"/>
      <c r="D102" s="9"/>
      <c r="E102" s="9"/>
      <c r="F102" s="28"/>
      <c r="G102" s="9"/>
    </row>
    <row r="103" spans="2:16" x14ac:dyDescent="0.2">
      <c r="B103" s="9"/>
      <c r="C103" s="9"/>
      <c r="D103" s="9"/>
      <c r="E103" s="9"/>
      <c r="F103" s="28"/>
      <c r="G103" s="9"/>
    </row>
    <row r="104" spans="2:16" x14ac:dyDescent="0.2">
      <c r="B104" s="9"/>
      <c r="C104" s="9"/>
      <c r="D104" s="9"/>
      <c r="E104" s="9"/>
      <c r="F104" s="28"/>
      <c r="G104" s="9"/>
    </row>
    <row r="105" spans="2:16" x14ac:dyDescent="0.2">
      <c r="B105" s="9"/>
      <c r="C105" s="9"/>
      <c r="D105" s="9"/>
      <c r="E105" s="9"/>
      <c r="F105" s="28"/>
      <c r="G105" s="9"/>
    </row>
    <row r="106" spans="2:16" x14ac:dyDescent="0.2">
      <c r="B106" s="9"/>
      <c r="C106" s="9"/>
      <c r="D106" s="9"/>
      <c r="E106" s="9"/>
      <c r="F106" s="28"/>
      <c r="G106" s="9"/>
    </row>
    <row r="107" spans="2:16" x14ac:dyDescent="0.2">
      <c r="B107" s="9"/>
      <c r="C107" s="9"/>
      <c r="D107" s="9"/>
      <c r="E107" s="9"/>
      <c r="F107" s="28"/>
      <c r="G107" s="9"/>
    </row>
    <row r="108" spans="2:16" x14ac:dyDescent="0.2">
      <c r="B108" s="9"/>
      <c r="C108" s="9"/>
      <c r="D108" s="9"/>
      <c r="E108" s="9"/>
      <c r="F108" s="28"/>
      <c r="G108" s="9"/>
    </row>
    <row r="109" spans="2:16" x14ac:dyDescent="0.2">
      <c r="B109" s="9"/>
      <c r="C109" s="9"/>
      <c r="D109" s="9"/>
      <c r="E109" s="9"/>
      <c r="F109" s="28"/>
      <c r="G109" s="9"/>
    </row>
    <row r="110" spans="2:16" x14ac:dyDescent="0.2">
      <c r="B110" s="9"/>
      <c r="C110" s="9"/>
      <c r="D110" s="9"/>
      <c r="E110" s="9"/>
      <c r="F110" s="28"/>
      <c r="G110" s="9"/>
    </row>
    <row r="111" spans="2:16" x14ac:dyDescent="0.2">
      <c r="B111" s="9"/>
      <c r="C111" s="9"/>
      <c r="D111" s="9"/>
      <c r="E111" s="9"/>
      <c r="F111" s="28"/>
      <c r="G111" s="9"/>
    </row>
  </sheetData>
  <protectedRanges>
    <protectedRange sqref="F25:F27 F19:F21 D8:D13 N13:N17 F8:G12 K63:L63 Q12:Q13 K8:L8 K9 K12:L22 D17:D27 F17 F23 G17:G26 G13 N19:N22 N8:N9" name="Range1"/>
  </protectedRanges>
  <customSheetViews>
    <customSheetView guid="{128C05F9-A66F-452B-AC6A-BA076995E294}" showRuler="0">
      <selection activeCell="B3" sqref="B3"/>
      <pageMargins left="0.75" right="0.75" top="1" bottom="1" header="0.5" footer="0.5"/>
      <pageSetup orientation="portrait" r:id="rId1"/>
      <headerFooter alignWithMargins="0"/>
    </customSheetView>
  </customSheetViews>
  <phoneticPr fontId="2" type="noConversion"/>
  <hyperlinks>
    <hyperlink ref="C6" r:id="rId2"/>
    <hyperlink ref="C15" r:id="rId3"/>
    <hyperlink ref="J6" r:id="rId4"/>
    <hyperlink ref="B5" r:id="rId5"/>
    <hyperlink ref="F23" location="Fbio!A1" display="Calc"/>
  </hyperlinks>
  <pageMargins left="0.75" right="0.75" top="1" bottom="1" header="0.5" footer="0.5"/>
  <pageSetup orientation="portrait" r:id="rId6"/>
  <headerFooter alignWithMargins="0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3" tint="0.59999389629810485"/>
  </sheetPr>
  <dimension ref="A1:CB535"/>
  <sheetViews>
    <sheetView workbookViewId="0">
      <selection activeCell="Q37" sqref="Q37"/>
    </sheetView>
  </sheetViews>
  <sheetFormatPr defaultRowHeight="12.75" x14ac:dyDescent="0.2"/>
  <cols>
    <col min="1" max="1" width="6" style="9" customWidth="1"/>
    <col min="2" max="2" width="5.85546875" style="9" customWidth="1"/>
    <col min="3" max="3" width="3.42578125" style="9" customWidth="1"/>
    <col min="4" max="31" width="3.28515625" style="9" customWidth="1"/>
    <col min="32" max="32" width="3.7109375" style="9" customWidth="1"/>
    <col min="33" max="33" width="3.5703125" style="9" customWidth="1"/>
    <col min="34" max="34" width="10.5703125" style="9" customWidth="1"/>
    <col min="35" max="35" width="9.140625" style="9"/>
    <col min="36" max="39" width="9.140625" style="25"/>
    <col min="40" max="40" width="10" style="25" customWidth="1"/>
    <col min="41" max="41" width="9.5703125" style="25" customWidth="1"/>
    <col min="42" max="44" width="9.140625" style="25"/>
    <col min="45" max="16384" width="9.140625" style="9"/>
  </cols>
  <sheetData>
    <row r="1" spans="1:80" ht="15.75" x14ac:dyDescent="0.25">
      <c r="A1" s="48" t="s">
        <v>168</v>
      </c>
    </row>
    <row r="2" spans="1:80" x14ac:dyDescent="0.2">
      <c r="C2" s="20"/>
    </row>
    <row r="3" spans="1:80" x14ac:dyDescent="0.2">
      <c r="C3" s="20"/>
      <c r="L3" s="21"/>
      <c r="M3" s="22" t="s">
        <v>18</v>
      </c>
      <c r="N3" s="307">
        <v>1000</v>
      </c>
      <c r="O3" s="307"/>
      <c r="P3" s="308">
        <v>100</v>
      </c>
      <c r="Q3" s="308"/>
      <c r="R3" s="309">
        <v>5</v>
      </c>
      <c r="S3" s="309"/>
      <c r="T3" s="21" t="s">
        <v>170</v>
      </c>
      <c r="AC3" s="21"/>
      <c r="AD3" s="21"/>
    </row>
    <row r="4" spans="1:80" x14ac:dyDescent="0.2">
      <c r="C4" s="23"/>
      <c r="AO4" s="281"/>
    </row>
    <row r="5" spans="1:80" ht="25.5" customHeight="1" x14ac:dyDescent="0.2">
      <c r="C5" s="282" t="str">
        <f>IF(AE27="flux","Flux Concentrations","Resident Concentrations")</f>
        <v>Flux Concentrations</v>
      </c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277"/>
      <c r="O5" s="277"/>
      <c r="P5" s="277"/>
      <c r="Q5" s="277"/>
      <c r="R5" s="277"/>
      <c r="S5" s="277"/>
      <c r="T5" s="277"/>
      <c r="U5" s="277"/>
      <c r="V5" s="277"/>
      <c r="W5" s="277"/>
      <c r="X5" s="277"/>
      <c r="Y5" s="277"/>
      <c r="Z5" s="277"/>
      <c r="AA5" s="277"/>
      <c r="AB5" s="277"/>
      <c r="AC5" s="277"/>
      <c r="AD5" s="277"/>
      <c r="AE5" s="277"/>
      <c r="AF5" s="277"/>
      <c r="AG5" s="277"/>
      <c r="AO5" s="281" t="s">
        <v>340</v>
      </c>
      <c r="AU5" s="310"/>
      <c r="AV5" s="310"/>
      <c r="AW5" s="310"/>
    </row>
    <row r="6" spans="1:80" ht="14.25" customHeight="1" x14ac:dyDescent="0.2">
      <c r="A6" s="24" t="s">
        <v>20</v>
      </c>
      <c r="B6" s="279"/>
      <c r="C6" s="226">
        <f>C20</f>
        <v>50</v>
      </c>
      <c r="D6" s="226">
        <f t="shared" ref="D6:AG6" si="0">D20</f>
        <v>150</v>
      </c>
      <c r="E6" s="226">
        <f t="shared" si="0"/>
        <v>250</v>
      </c>
      <c r="F6" s="226">
        <f t="shared" si="0"/>
        <v>350</v>
      </c>
      <c r="G6" s="226">
        <f t="shared" si="0"/>
        <v>450</v>
      </c>
      <c r="H6" s="226">
        <f t="shared" si="0"/>
        <v>550</v>
      </c>
      <c r="I6" s="226">
        <f t="shared" si="0"/>
        <v>650</v>
      </c>
      <c r="J6" s="226">
        <f t="shared" si="0"/>
        <v>750</v>
      </c>
      <c r="K6" s="226">
        <f t="shared" si="0"/>
        <v>850</v>
      </c>
      <c r="L6" s="226">
        <f t="shared" si="0"/>
        <v>950</v>
      </c>
      <c r="M6" s="226">
        <f t="shared" si="0"/>
        <v>1050</v>
      </c>
      <c r="N6" s="226">
        <f t="shared" si="0"/>
        <v>1150</v>
      </c>
      <c r="O6" s="226">
        <f t="shared" si="0"/>
        <v>1250</v>
      </c>
      <c r="P6" s="226">
        <f t="shared" si="0"/>
        <v>1350</v>
      </c>
      <c r="Q6" s="226">
        <f t="shared" si="0"/>
        <v>1450</v>
      </c>
      <c r="R6" s="226">
        <f t="shared" si="0"/>
        <v>1550</v>
      </c>
      <c r="S6" s="226">
        <f t="shared" si="0"/>
        <v>1650</v>
      </c>
      <c r="T6" s="226">
        <f t="shared" si="0"/>
        <v>1750</v>
      </c>
      <c r="U6" s="226">
        <f t="shared" si="0"/>
        <v>1850</v>
      </c>
      <c r="V6" s="226">
        <f t="shared" si="0"/>
        <v>1950</v>
      </c>
      <c r="W6" s="226">
        <f t="shared" si="0"/>
        <v>2050</v>
      </c>
      <c r="X6" s="226">
        <f t="shared" si="0"/>
        <v>2150</v>
      </c>
      <c r="Y6" s="226">
        <f t="shared" si="0"/>
        <v>2250</v>
      </c>
      <c r="Z6" s="226">
        <f t="shared" si="0"/>
        <v>2350</v>
      </c>
      <c r="AA6" s="226">
        <f t="shared" si="0"/>
        <v>2450</v>
      </c>
      <c r="AB6" s="226">
        <f t="shared" si="0"/>
        <v>2550</v>
      </c>
      <c r="AC6" s="226">
        <f t="shared" si="0"/>
        <v>2650</v>
      </c>
      <c r="AD6" s="226">
        <f t="shared" si="0"/>
        <v>2750</v>
      </c>
      <c r="AE6" s="226">
        <f t="shared" si="0"/>
        <v>2850</v>
      </c>
      <c r="AF6" s="226">
        <f t="shared" si="0"/>
        <v>2950</v>
      </c>
      <c r="AG6" s="226">
        <f t="shared" si="0"/>
        <v>3050</v>
      </c>
      <c r="AJ6" s="136" t="s">
        <v>164</v>
      </c>
      <c r="AK6" s="74"/>
      <c r="AL6" s="74"/>
      <c r="AM6" s="32"/>
      <c r="AN6" s="32"/>
      <c r="AO6" s="280" t="s">
        <v>339</v>
      </c>
      <c r="AP6" s="89" t="s">
        <v>166</v>
      </c>
      <c r="AQ6" s="74" t="s">
        <v>169</v>
      </c>
      <c r="AU6" s="311" t="s">
        <v>210</v>
      </c>
      <c r="AV6" s="311"/>
      <c r="AW6" s="311"/>
    </row>
    <row r="7" spans="1:80" ht="13.15" customHeight="1" x14ac:dyDescent="0.2">
      <c r="B7" s="227">
        <f>B8+Plume!$I$30</f>
        <v>600</v>
      </c>
      <c r="C7" s="228" t="e">
        <f t="shared" ref="C7:AG7" ca="1" si="1">IF($AE$27="flux",C45-$AO$17*(D45-C45)/$I$29,C45)</f>
        <v>#NAME?</v>
      </c>
      <c r="D7" s="228" t="e">
        <f t="shared" ca="1" si="1"/>
        <v>#NAME?</v>
      </c>
      <c r="E7" s="228" t="e">
        <f t="shared" ca="1" si="1"/>
        <v>#NAME?</v>
      </c>
      <c r="F7" s="228" t="e">
        <f t="shared" ca="1" si="1"/>
        <v>#NAME?</v>
      </c>
      <c r="G7" s="228" t="e">
        <f t="shared" ca="1" si="1"/>
        <v>#NAME?</v>
      </c>
      <c r="H7" s="228" t="e">
        <f t="shared" ca="1" si="1"/>
        <v>#NAME?</v>
      </c>
      <c r="I7" s="228" t="e">
        <f t="shared" ca="1" si="1"/>
        <v>#NAME?</v>
      </c>
      <c r="J7" s="228" t="e">
        <f t="shared" ca="1" si="1"/>
        <v>#NAME?</v>
      </c>
      <c r="K7" s="228" t="e">
        <f t="shared" ca="1" si="1"/>
        <v>#NAME?</v>
      </c>
      <c r="L7" s="228" t="e">
        <f t="shared" ca="1" si="1"/>
        <v>#NAME?</v>
      </c>
      <c r="M7" s="228" t="e">
        <f t="shared" ca="1" si="1"/>
        <v>#NAME?</v>
      </c>
      <c r="N7" s="228" t="e">
        <f t="shared" ca="1" si="1"/>
        <v>#NAME?</v>
      </c>
      <c r="O7" s="228" t="e">
        <f t="shared" ca="1" si="1"/>
        <v>#NAME?</v>
      </c>
      <c r="P7" s="228" t="e">
        <f t="shared" ca="1" si="1"/>
        <v>#NAME?</v>
      </c>
      <c r="Q7" s="228" t="e">
        <f t="shared" ca="1" si="1"/>
        <v>#NAME?</v>
      </c>
      <c r="R7" s="228" t="e">
        <f t="shared" ca="1" si="1"/>
        <v>#NAME?</v>
      </c>
      <c r="S7" s="228" t="e">
        <f t="shared" ca="1" si="1"/>
        <v>#NAME?</v>
      </c>
      <c r="T7" s="228" t="e">
        <f t="shared" ca="1" si="1"/>
        <v>#NAME?</v>
      </c>
      <c r="U7" s="228" t="e">
        <f t="shared" ca="1" si="1"/>
        <v>#NAME?</v>
      </c>
      <c r="V7" s="228" t="e">
        <f t="shared" ca="1" si="1"/>
        <v>#NAME?</v>
      </c>
      <c r="W7" s="228" t="e">
        <f t="shared" ca="1" si="1"/>
        <v>#NAME?</v>
      </c>
      <c r="X7" s="228" t="e">
        <f t="shared" ca="1" si="1"/>
        <v>#NAME?</v>
      </c>
      <c r="Y7" s="228" t="e">
        <f t="shared" ca="1" si="1"/>
        <v>#NAME?</v>
      </c>
      <c r="Z7" s="228" t="e">
        <f t="shared" ca="1" si="1"/>
        <v>#NAME?</v>
      </c>
      <c r="AA7" s="228" t="e">
        <f t="shared" ca="1" si="1"/>
        <v>#NAME?</v>
      </c>
      <c r="AB7" s="228" t="e">
        <f t="shared" ca="1" si="1"/>
        <v>#NAME?</v>
      </c>
      <c r="AC7" s="228" t="e">
        <f t="shared" ca="1" si="1"/>
        <v>#NAME?</v>
      </c>
      <c r="AD7" s="228" t="e">
        <f t="shared" ca="1" si="1"/>
        <v>#NAME?</v>
      </c>
      <c r="AE7" s="228" t="e">
        <f t="shared" ca="1" si="1"/>
        <v>#NAME?</v>
      </c>
      <c r="AF7" s="228" t="e">
        <f t="shared" ca="1" si="1"/>
        <v>#NAME?</v>
      </c>
      <c r="AG7" s="228" t="e">
        <f t="shared" ca="1" si="1"/>
        <v>#NAME?</v>
      </c>
      <c r="AJ7" s="105" t="s">
        <v>11</v>
      </c>
      <c r="AL7" s="123"/>
      <c r="AM7" s="9"/>
      <c r="AN7" s="1" t="s">
        <v>2</v>
      </c>
      <c r="AO7" s="208">
        <f>AP7</f>
        <v>2.7E-2</v>
      </c>
      <c r="AP7" s="25">
        <f>Input!L69</f>
        <v>2.7E-2</v>
      </c>
      <c r="AQ7" s="1" t="s">
        <v>58</v>
      </c>
      <c r="AU7" s="203" t="e">
        <f t="shared" ref="AU7:AU19" ca="1" si="2">C7</f>
        <v>#NAME?</v>
      </c>
      <c r="AV7" s="203">
        <f t="shared" ref="AV7:AV19" si="3">$B7</f>
        <v>600</v>
      </c>
      <c r="AW7" s="203">
        <f t="shared" ref="AW7:AW19" si="4">C$6</f>
        <v>50</v>
      </c>
      <c r="CB7" s="29"/>
    </row>
    <row r="8" spans="1:80" x14ac:dyDescent="0.2">
      <c r="B8" s="227">
        <f>B9+Plume!$I$30</f>
        <v>500</v>
      </c>
      <c r="C8" s="228" t="e">
        <f t="shared" ref="C8:AG8" ca="1" si="5">IF($AE$27="flux",C46-$AO$17*(D46-C46)/$I$29,C46)</f>
        <v>#NAME?</v>
      </c>
      <c r="D8" s="228" t="e">
        <f t="shared" ca="1" si="5"/>
        <v>#NAME?</v>
      </c>
      <c r="E8" s="228" t="e">
        <f t="shared" ca="1" si="5"/>
        <v>#NAME?</v>
      </c>
      <c r="F8" s="228" t="e">
        <f t="shared" ca="1" si="5"/>
        <v>#NAME?</v>
      </c>
      <c r="G8" s="228" t="e">
        <f t="shared" ca="1" si="5"/>
        <v>#NAME?</v>
      </c>
      <c r="H8" s="228" t="e">
        <f t="shared" ca="1" si="5"/>
        <v>#NAME?</v>
      </c>
      <c r="I8" s="228" t="e">
        <f t="shared" ca="1" si="5"/>
        <v>#NAME?</v>
      </c>
      <c r="J8" s="228" t="e">
        <f t="shared" ca="1" si="5"/>
        <v>#NAME?</v>
      </c>
      <c r="K8" s="228" t="e">
        <f t="shared" ca="1" si="5"/>
        <v>#NAME?</v>
      </c>
      <c r="L8" s="228" t="e">
        <f t="shared" ca="1" si="5"/>
        <v>#NAME?</v>
      </c>
      <c r="M8" s="228" t="e">
        <f t="shared" ca="1" si="5"/>
        <v>#NAME?</v>
      </c>
      <c r="N8" s="228" t="e">
        <f t="shared" ca="1" si="5"/>
        <v>#NAME?</v>
      </c>
      <c r="O8" s="228" t="e">
        <f t="shared" ca="1" si="5"/>
        <v>#NAME?</v>
      </c>
      <c r="P8" s="228" t="e">
        <f t="shared" ca="1" si="5"/>
        <v>#NAME?</v>
      </c>
      <c r="Q8" s="228" t="e">
        <f t="shared" ca="1" si="5"/>
        <v>#NAME?</v>
      </c>
      <c r="R8" s="228" t="e">
        <f t="shared" ca="1" si="5"/>
        <v>#NAME?</v>
      </c>
      <c r="S8" s="228" t="e">
        <f t="shared" ca="1" si="5"/>
        <v>#NAME?</v>
      </c>
      <c r="T8" s="228" t="e">
        <f t="shared" ca="1" si="5"/>
        <v>#NAME?</v>
      </c>
      <c r="U8" s="228" t="e">
        <f t="shared" ca="1" si="5"/>
        <v>#NAME?</v>
      </c>
      <c r="V8" s="228" t="e">
        <f t="shared" ca="1" si="5"/>
        <v>#NAME?</v>
      </c>
      <c r="W8" s="228" t="e">
        <f t="shared" ca="1" si="5"/>
        <v>#NAME?</v>
      </c>
      <c r="X8" s="228" t="e">
        <f t="shared" ca="1" si="5"/>
        <v>#NAME?</v>
      </c>
      <c r="Y8" s="228" t="e">
        <f t="shared" ca="1" si="5"/>
        <v>#NAME?</v>
      </c>
      <c r="Z8" s="228" t="e">
        <f t="shared" ca="1" si="5"/>
        <v>#NAME?</v>
      </c>
      <c r="AA8" s="228" t="e">
        <f t="shared" ca="1" si="5"/>
        <v>#NAME?</v>
      </c>
      <c r="AB8" s="228" t="e">
        <f t="shared" ca="1" si="5"/>
        <v>#NAME?</v>
      </c>
      <c r="AC8" s="228" t="e">
        <f t="shared" ca="1" si="5"/>
        <v>#NAME?</v>
      </c>
      <c r="AD8" s="228" t="e">
        <f t="shared" ca="1" si="5"/>
        <v>#NAME?</v>
      </c>
      <c r="AE8" s="228" t="e">
        <f t="shared" ca="1" si="5"/>
        <v>#NAME?</v>
      </c>
      <c r="AF8" s="228" t="e">
        <f t="shared" ca="1" si="5"/>
        <v>#NAME?</v>
      </c>
      <c r="AG8" s="228" t="e">
        <f t="shared" ca="1" si="5"/>
        <v>#NAME?</v>
      </c>
      <c r="AJ8" s="105" t="s">
        <v>12</v>
      </c>
      <c r="AL8" s="123"/>
      <c r="AM8" s="9"/>
      <c r="AN8" s="1" t="s">
        <v>3</v>
      </c>
      <c r="AO8" s="208">
        <f t="shared" ref="AO8:AO26" si="6">AP8</f>
        <v>100</v>
      </c>
      <c r="AP8" s="25">
        <f>Input!L70</f>
        <v>100</v>
      </c>
      <c r="AQ8" s="1" t="s">
        <v>59</v>
      </c>
      <c r="AU8" s="203" t="e">
        <f t="shared" ca="1" si="2"/>
        <v>#NAME?</v>
      </c>
      <c r="AV8" s="203">
        <f t="shared" si="3"/>
        <v>500</v>
      </c>
      <c r="AW8" s="203">
        <f t="shared" si="4"/>
        <v>50</v>
      </c>
      <c r="CB8" s="29"/>
    </row>
    <row r="9" spans="1:80" x14ac:dyDescent="0.2">
      <c r="B9" s="227">
        <f>B10+Plume!$I$30</f>
        <v>400</v>
      </c>
      <c r="C9" s="228" t="e">
        <f ca="1">IF($AE$27="flux",C47-$AO$17*(D47-C47)/$I$29,C47)</f>
        <v>#NAME?</v>
      </c>
      <c r="D9" s="228" t="e">
        <f t="shared" ref="D9:AG9" ca="1" si="7">IF($AE$27="flux",D47-$AO$17*(E47-D47)/$I$29,D47)</f>
        <v>#NAME?</v>
      </c>
      <c r="E9" s="228" t="e">
        <f t="shared" ca="1" si="7"/>
        <v>#NAME?</v>
      </c>
      <c r="F9" s="228" t="e">
        <f t="shared" ca="1" si="7"/>
        <v>#NAME?</v>
      </c>
      <c r="G9" s="228" t="e">
        <f t="shared" ca="1" si="7"/>
        <v>#NAME?</v>
      </c>
      <c r="H9" s="228" t="e">
        <f t="shared" ca="1" si="7"/>
        <v>#NAME?</v>
      </c>
      <c r="I9" s="228" t="e">
        <f t="shared" ca="1" si="7"/>
        <v>#NAME?</v>
      </c>
      <c r="J9" s="228" t="e">
        <f t="shared" ca="1" si="7"/>
        <v>#NAME?</v>
      </c>
      <c r="K9" s="228" t="e">
        <f t="shared" ca="1" si="7"/>
        <v>#NAME?</v>
      </c>
      <c r="L9" s="228" t="e">
        <f t="shared" ca="1" si="7"/>
        <v>#NAME?</v>
      </c>
      <c r="M9" s="228" t="e">
        <f t="shared" ca="1" si="7"/>
        <v>#NAME?</v>
      </c>
      <c r="N9" s="228" t="e">
        <f t="shared" ca="1" si="7"/>
        <v>#NAME?</v>
      </c>
      <c r="O9" s="228" t="e">
        <f t="shared" ca="1" si="7"/>
        <v>#NAME?</v>
      </c>
      <c r="P9" s="228" t="e">
        <f t="shared" ca="1" si="7"/>
        <v>#NAME?</v>
      </c>
      <c r="Q9" s="228" t="e">
        <f t="shared" ca="1" si="7"/>
        <v>#NAME?</v>
      </c>
      <c r="R9" s="228" t="e">
        <f t="shared" ca="1" si="7"/>
        <v>#NAME?</v>
      </c>
      <c r="S9" s="228" t="e">
        <f t="shared" ca="1" si="7"/>
        <v>#NAME?</v>
      </c>
      <c r="T9" s="228" t="e">
        <f t="shared" ca="1" si="7"/>
        <v>#NAME?</v>
      </c>
      <c r="U9" s="228" t="e">
        <f t="shared" ca="1" si="7"/>
        <v>#NAME?</v>
      </c>
      <c r="V9" s="228" t="e">
        <f t="shared" ca="1" si="7"/>
        <v>#NAME?</v>
      </c>
      <c r="W9" s="228" t="e">
        <f t="shared" ca="1" si="7"/>
        <v>#NAME?</v>
      </c>
      <c r="X9" s="228" t="e">
        <f t="shared" ca="1" si="7"/>
        <v>#NAME?</v>
      </c>
      <c r="Y9" s="228" t="e">
        <f t="shared" ca="1" si="7"/>
        <v>#NAME?</v>
      </c>
      <c r="Z9" s="228" t="e">
        <f t="shared" ca="1" si="7"/>
        <v>#NAME?</v>
      </c>
      <c r="AA9" s="228" t="e">
        <f t="shared" ca="1" si="7"/>
        <v>#NAME?</v>
      </c>
      <c r="AB9" s="228" t="e">
        <f t="shared" ca="1" si="7"/>
        <v>#NAME?</v>
      </c>
      <c r="AC9" s="228" t="e">
        <f t="shared" ca="1" si="7"/>
        <v>#NAME?</v>
      </c>
      <c r="AD9" s="228" t="e">
        <f t="shared" ca="1" si="7"/>
        <v>#NAME?</v>
      </c>
      <c r="AE9" s="228" t="e">
        <f t="shared" ca="1" si="7"/>
        <v>#NAME?</v>
      </c>
      <c r="AF9" s="228" t="e">
        <f t="shared" ca="1" si="7"/>
        <v>#NAME?</v>
      </c>
      <c r="AG9" s="228" t="e">
        <f t="shared" ca="1" si="7"/>
        <v>#NAME?</v>
      </c>
      <c r="AJ9" s="105" t="s">
        <v>13</v>
      </c>
      <c r="AL9" s="123"/>
      <c r="AM9" s="9"/>
      <c r="AN9" s="1" t="s">
        <v>0</v>
      </c>
      <c r="AO9" s="208">
        <f t="shared" si="6"/>
        <v>0.8</v>
      </c>
      <c r="AP9" s="25">
        <f>Input!L71</f>
        <v>0.8</v>
      </c>
      <c r="AQ9" s="1" t="s">
        <v>119</v>
      </c>
      <c r="AU9" s="203" t="e">
        <f t="shared" ca="1" si="2"/>
        <v>#NAME?</v>
      </c>
      <c r="AV9" s="203">
        <f t="shared" si="3"/>
        <v>400</v>
      </c>
      <c r="AW9" s="203">
        <f t="shared" si="4"/>
        <v>50</v>
      </c>
      <c r="CB9" s="29"/>
    </row>
    <row r="10" spans="1:80" ht="13.15" customHeight="1" x14ac:dyDescent="0.2">
      <c r="B10" s="227">
        <f>B11+Plume!$I$30</f>
        <v>300</v>
      </c>
      <c r="C10" s="228" t="e">
        <f ca="1">IF($AE$27="flux",C48-$AO$17*(D48-C48)/$I$29,C48)</f>
        <v>#NAME?</v>
      </c>
      <c r="D10" s="228" t="e">
        <f t="shared" ref="D10:AG10" ca="1" si="8">IF($AE$27="flux",D48-$AO$17*(E48-D48)/$I$29,D48)</f>
        <v>#NAME?</v>
      </c>
      <c r="E10" s="228" t="e">
        <f t="shared" ca="1" si="8"/>
        <v>#NAME?</v>
      </c>
      <c r="F10" s="228" t="e">
        <f t="shared" ca="1" si="8"/>
        <v>#NAME?</v>
      </c>
      <c r="G10" s="228" t="e">
        <f t="shared" ca="1" si="8"/>
        <v>#NAME?</v>
      </c>
      <c r="H10" s="228" t="e">
        <f t="shared" ca="1" si="8"/>
        <v>#NAME?</v>
      </c>
      <c r="I10" s="228" t="e">
        <f t="shared" ca="1" si="8"/>
        <v>#NAME?</v>
      </c>
      <c r="J10" s="228" t="e">
        <f t="shared" ca="1" si="8"/>
        <v>#NAME?</v>
      </c>
      <c r="K10" s="228" t="e">
        <f t="shared" ca="1" si="8"/>
        <v>#NAME?</v>
      </c>
      <c r="L10" s="228" t="e">
        <f t="shared" ca="1" si="8"/>
        <v>#NAME?</v>
      </c>
      <c r="M10" s="228" t="e">
        <f t="shared" ca="1" si="8"/>
        <v>#NAME?</v>
      </c>
      <c r="N10" s="228" t="e">
        <f t="shared" ca="1" si="8"/>
        <v>#NAME?</v>
      </c>
      <c r="O10" s="228" t="e">
        <f t="shared" ca="1" si="8"/>
        <v>#NAME?</v>
      </c>
      <c r="P10" s="228" t="e">
        <f t="shared" ca="1" si="8"/>
        <v>#NAME?</v>
      </c>
      <c r="Q10" s="228" t="e">
        <f t="shared" ca="1" si="8"/>
        <v>#NAME?</v>
      </c>
      <c r="R10" s="228" t="e">
        <f t="shared" ca="1" si="8"/>
        <v>#NAME?</v>
      </c>
      <c r="S10" s="228" t="e">
        <f t="shared" ca="1" si="8"/>
        <v>#NAME?</v>
      </c>
      <c r="T10" s="228" t="e">
        <f t="shared" ca="1" si="8"/>
        <v>#NAME?</v>
      </c>
      <c r="U10" s="228" t="e">
        <f t="shared" ca="1" si="8"/>
        <v>#NAME?</v>
      </c>
      <c r="V10" s="228" t="e">
        <f t="shared" ca="1" si="8"/>
        <v>#NAME?</v>
      </c>
      <c r="W10" s="228" t="e">
        <f t="shared" ca="1" si="8"/>
        <v>#NAME?</v>
      </c>
      <c r="X10" s="228" t="e">
        <f t="shared" ca="1" si="8"/>
        <v>#NAME?</v>
      </c>
      <c r="Y10" s="228" t="e">
        <f t="shared" ca="1" si="8"/>
        <v>#NAME?</v>
      </c>
      <c r="Z10" s="228" t="e">
        <f t="shared" ca="1" si="8"/>
        <v>#NAME?</v>
      </c>
      <c r="AA10" s="228" t="e">
        <f t="shared" ca="1" si="8"/>
        <v>#NAME?</v>
      </c>
      <c r="AB10" s="228" t="e">
        <f t="shared" ca="1" si="8"/>
        <v>#NAME?</v>
      </c>
      <c r="AC10" s="228" t="e">
        <f t="shared" ca="1" si="8"/>
        <v>#NAME?</v>
      </c>
      <c r="AD10" s="228" t="e">
        <f t="shared" ca="1" si="8"/>
        <v>#NAME?</v>
      </c>
      <c r="AE10" s="228" t="e">
        <f t="shared" ca="1" si="8"/>
        <v>#NAME?</v>
      </c>
      <c r="AF10" s="228" t="e">
        <f t="shared" ca="1" si="8"/>
        <v>#NAME?</v>
      </c>
      <c r="AG10" s="228" t="e">
        <f t="shared" ca="1" si="8"/>
        <v>#NAME?</v>
      </c>
      <c r="AJ10" s="105" t="s">
        <v>106</v>
      </c>
      <c r="AL10" s="123"/>
      <c r="AM10" s="9"/>
      <c r="AN10" s="1" t="s">
        <v>1</v>
      </c>
      <c r="AO10" s="208">
        <f t="shared" si="6"/>
        <v>10</v>
      </c>
      <c r="AP10" s="25">
        <f>Input!L72</f>
        <v>10</v>
      </c>
      <c r="AQ10" s="1" t="s">
        <v>16</v>
      </c>
      <c r="AU10" s="203" t="e">
        <f t="shared" ca="1" si="2"/>
        <v>#NAME?</v>
      </c>
      <c r="AV10" s="203">
        <f t="shared" si="3"/>
        <v>300</v>
      </c>
      <c r="AW10" s="203">
        <f t="shared" si="4"/>
        <v>50</v>
      </c>
      <c r="CB10" s="29"/>
    </row>
    <row r="11" spans="1:80" x14ac:dyDescent="0.2">
      <c r="B11" s="227">
        <f>B12+Plume!$I$30</f>
        <v>200</v>
      </c>
      <c r="C11" s="228" t="e">
        <f ca="1">IF($AE$27="flux",C49-$AO$17*(D49-C49)/$I$29,C49)</f>
        <v>#NAME?</v>
      </c>
      <c r="D11" s="228" t="e">
        <f t="shared" ref="D11:AG11" ca="1" si="9">IF($AE$27="flux",D49-$AO$17*(E49-D49)/$I$29,D49)</f>
        <v>#NAME?</v>
      </c>
      <c r="E11" s="228" t="e">
        <f t="shared" ca="1" si="9"/>
        <v>#NAME?</v>
      </c>
      <c r="F11" s="228" t="e">
        <f t="shared" ca="1" si="9"/>
        <v>#NAME?</v>
      </c>
      <c r="G11" s="228" t="e">
        <f t="shared" ca="1" si="9"/>
        <v>#NAME?</v>
      </c>
      <c r="H11" s="228" t="e">
        <f t="shared" ca="1" si="9"/>
        <v>#NAME?</v>
      </c>
      <c r="I11" s="228" t="e">
        <f t="shared" ca="1" si="9"/>
        <v>#NAME?</v>
      </c>
      <c r="J11" s="228" t="e">
        <f t="shared" ca="1" si="9"/>
        <v>#NAME?</v>
      </c>
      <c r="K11" s="228" t="e">
        <f t="shared" ca="1" si="9"/>
        <v>#NAME?</v>
      </c>
      <c r="L11" s="228" t="e">
        <f t="shared" ca="1" si="9"/>
        <v>#NAME?</v>
      </c>
      <c r="M11" s="228" t="e">
        <f t="shared" ca="1" si="9"/>
        <v>#NAME?</v>
      </c>
      <c r="N11" s="228" t="e">
        <f t="shared" ca="1" si="9"/>
        <v>#NAME?</v>
      </c>
      <c r="O11" s="228" t="e">
        <f t="shared" ca="1" si="9"/>
        <v>#NAME?</v>
      </c>
      <c r="P11" s="228" t="e">
        <f t="shared" ca="1" si="9"/>
        <v>#NAME?</v>
      </c>
      <c r="Q11" s="228" t="e">
        <f t="shared" ca="1" si="9"/>
        <v>#NAME?</v>
      </c>
      <c r="R11" s="228" t="e">
        <f t="shared" ca="1" si="9"/>
        <v>#NAME?</v>
      </c>
      <c r="S11" s="228" t="e">
        <f t="shared" ca="1" si="9"/>
        <v>#NAME?</v>
      </c>
      <c r="T11" s="228" t="e">
        <f t="shared" ca="1" si="9"/>
        <v>#NAME?</v>
      </c>
      <c r="U11" s="228" t="e">
        <f t="shared" ca="1" si="9"/>
        <v>#NAME?</v>
      </c>
      <c r="V11" s="228" t="e">
        <f t="shared" ca="1" si="9"/>
        <v>#NAME?</v>
      </c>
      <c r="W11" s="228" t="e">
        <f t="shared" ca="1" si="9"/>
        <v>#NAME?</v>
      </c>
      <c r="X11" s="228" t="e">
        <f t="shared" ca="1" si="9"/>
        <v>#NAME?</v>
      </c>
      <c r="Y11" s="228" t="e">
        <f t="shared" ca="1" si="9"/>
        <v>#NAME?</v>
      </c>
      <c r="Z11" s="228" t="e">
        <f t="shared" ca="1" si="9"/>
        <v>#NAME?</v>
      </c>
      <c r="AA11" s="228" t="e">
        <f t="shared" ca="1" si="9"/>
        <v>#NAME?</v>
      </c>
      <c r="AB11" s="228" t="e">
        <f t="shared" ca="1" si="9"/>
        <v>#NAME?</v>
      </c>
      <c r="AC11" s="228" t="e">
        <f t="shared" ca="1" si="9"/>
        <v>#NAME?</v>
      </c>
      <c r="AD11" s="228" t="e">
        <f t="shared" ca="1" si="9"/>
        <v>#NAME?</v>
      </c>
      <c r="AE11" s="228" t="e">
        <f t="shared" ca="1" si="9"/>
        <v>#NAME?</v>
      </c>
      <c r="AF11" s="228" t="e">
        <f t="shared" ca="1" si="9"/>
        <v>#NAME?</v>
      </c>
      <c r="AG11" s="228" t="e">
        <f t="shared" ca="1" si="9"/>
        <v>#NAME?</v>
      </c>
      <c r="AJ11" s="105" t="s">
        <v>10</v>
      </c>
      <c r="AL11" s="123"/>
      <c r="AM11" s="9"/>
      <c r="AN11" s="1" t="s">
        <v>28</v>
      </c>
      <c r="AO11" s="208">
        <f t="shared" si="6"/>
        <v>10</v>
      </c>
      <c r="AP11" s="25">
        <f>Input!L73</f>
        <v>10</v>
      </c>
      <c r="AQ11" s="1" t="s">
        <v>16</v>
      </c>
      <c r="AU11" s="203" t="e">
        <f t="shared" ca="1" si="2"/>
        <v>#NAME?</v>
      </c>
      <c r="AV11" s="203">
        <f t="shared" si="3"/>
        <v>200</v>
      </c>
      <c r="AW11" s="203">
        <f t="shared" si="4"/>
        <v>50</v>
      </c>
      <c r="CB11" s="29"/>
    </row>
    <row r="12" spans="1:80" x14ac:dyDescent="0.2">
      <c r="B12" s="227">
        <f>Plume!$I$30</f>
        <v>100</v>
      </c>
      <c r="C12" s="228" t="e">
        <f ca="1">IF($AE$27="flux",C50-$AO$17*(D50-C50)/$I$29,C50)</f>
        <v>#NAME?</v>
      </c>
      <c r="D12" s="228" t="e">
        <f t="shared" ref="D12:AG12" ca="1" si="10">IF($AE$27="flux",D50-$AO$17*(E50-D50)/$I$29,D50)</f>
        <v>#NAME?</v>
      </c>
      <c r="E12" s="228" t="e">
        <f t="shared" ca="1" si="10"/>
        <v>#NAME?</v>
      </c>
      <c r="F12" s="228" t="e">
        <f t="shared" ca="1" si="10"/>
        <v>#NAME?</v>
      </c>
      <c r="G12" s="228" t="e">
        <f t="shared" ca="1" si="10"/>
        <v>#NAME?</v>
      </c>
      <c r="H12" s="228" t="e">
        <f t="shared" ca="1" si="10"/>
        <v>#NAME?</v>
      </c>
      <c r="I12" s="228" t="e">
        <f t="shared" ca="1" si="10"/>
        <v>#NAME?</v>
      </c>
      <c r="J12" s="228" t="e">
        <f t="shared" ca="1" si="10"/>
        <v>#NAME?</v>
      </c>
      <c r="K12" s="228" t="e">
        <f t="shared" ca="1" si="10"/>
        <v>#NAME?</v>
      </c>
      <c r="L12" s="228" t="e">
        <f t="shared" ca="1" si="10"/>
        <v>#NAME?</v>
      </c>
      <c r="M12" s="228" t="e">
        <f t="shared" ca="1" si="10"/>
        <v>#NAME?</v>
      </c>
      <c r="N12" s="228" t="e">
        <f t="shared" ca="1" si="10"/>
        <v>#NAME?</v>
      </c>
      <c r="O12" s="228" t="e">
        <f t="shared" ca="1" si="10"/>
        <v>#NAME?</v>
      </c>
      <c r="P12" s="228" t="e">
        <f t="shared" ca="1" si="10"/>
        <v>#NAME?</v>
      </c>
      <c r="Q12" s="228" t="e">
        <f t="shared" ca="1" si="10"/>
        <v>#NAME?</v>
      </c>
      <c r="R12" s="228" t="e">
        <f t="shared" ca="1" si="10"/>
        <v>#NAME?</v>
      </c>
      <c r="S12" s="228" t="e">
        <f t="shared" ca="1" si="10"/>
        <v>#NAME?</v>
      </c>
      <c r="T12" s="228" t="e">
        <f t="shared" ca="1" si="10"/>
        <v>#NAME?</v>
      </c>
      <c r="U12" s="228" t="e">
        <f t="shared" ca="1" si="10"/>
        <v>#NAME?</v>
      </c>
      <c r="V12" s="228" t="e">
        <f t="shared" ca="1" si="10"/>
        <v>#NAME?</v>
      </c>
      <c r="W12" s="228" t="e">
        <f t="shared" ca="1" si="10"/>
        <v>#NAME?</v>
      </c>
      <c r="X12" s="228" t="e">
        <f t="shared" ca="1" si="10"/>
        <v>#NAME?</v>
      </c>
      <c r="Y12" s="228" t="e">
        <f t="shared" ca="1" si="10"/>
        <v>#NAME?</v>
      </c>
      <c r="Z12" s="228" t="e">
        <f t="shared" ca="1" si="10"/>
        <v>#NAME?</v>
      </c>
      <c r="AA12" s="228" t="e">
        <f t="shared" ca="1" si="10"/>
        <v>#NAME?</v>
      </c>
      <c r="AB12" s="228" t="e">
        <f t="shared" ca="1" si="10"/>
        <v>#NAME?</v>
      </c>
      <c r="AC12" s="228" t="e">
        <f t="shared" ca="1" si="10"/>
        <v>#NAME?</v>
      </c>
      <c r="AD12" s="228" t="e">
        <f t="shared" ca="1" si="10"/>
        <v>#NAME?</v>
      </c>
      <c r="AE12" s="228" t="e">
        <f t="shared" ca="1" si="10"/>
        <v>#NAME?</v>
      </c>
      <c r="AF12" s="228" t="e">
        <f t="shared" ca="1" si="10"/>
        <v>#NAME?</v>
      </c>
      <c r="AG12" s="228" t="e">
        <f t="shared" ca="1" si="10"/>
        <v>#NAME?</v>
      </c>
      <c r="AJ12" s="105" t="s">
        <v>107</v>
      </c>
      <c r="AL12" s="123"/>
      <c r="AM12" s="9"/>
      <c r="AN12" s="1" t="s">
        <v>4</v>
      </c>
      <c r="AO12" s="208">
        <f t="shared" si="6"/>
        <v>1951</v>
      </c>
      <c r="AP12" s="25">
        <f>Input!L74</f>
        <v>1951</v>
      </c>
      <c r="AQ12" s="1" t="s">
        <v>163</v>
      </c>
      <c r="AU12" s="203" t="e">
        <f t="shared" ca="1" si="2"/>
        <v>#NAME?</v>
      </c>
      <c r="AV12" s="203">
        <f t="shared" si="3"/>
        <v>100</v>
      </c>
      <c r="AW12" s="203">
        <f t="shared" si="4"/>
        <v>50</v>
      </c>
      <c r="CB12" s="29"/>
    </row>
    <row r="13" spans="1:80" x14ac:dyDescent="0.2">
      <c r="B13" s="227">
        <v>0</v>
      </c>
      <c r="C13" s="228" t="e">
        <f ca="1">IF($AE$27="flux",C51-$AO$17*(D51-C51)/$I$29,C51)</f>
        <v>#NAME?</v>
      </c>
      <c r="D13" s="228" t="e">
        <f t="shared" ref="D13:AG13" ca="1" si="11">IF($AE$27="flux",D51-$AO$17*(E51-D51)/$I$29,D51)</f>
        <v>#NAME?</v>
      </c>
      <c r="E13" s="228" t="e">
        <f t="shared" ca="1" si="11"/>
        <v>#NAME?</v>
      </c>
      <c r="F13" s="228" t="e">
        <f t="shared" ca="1" si="11"/>
        <v>#NAME?</v>
      </c>
      <c r="G13" s="228" t="e">
        <f t="shared" ca="1" si="11"/>
        <v>#NAME?</v>
      </c>
      <c r="H13" s="228" t="e">
        <f t="shared" ca="1" si="11"/>
        <v>#NAME?</v>
      </c>
      <c r="I13" s="228" t="e">
        <f t="shared" ca="1" si="11"/>
        <v>#NAME?</v>
      </c>
      <c r="J13" s="228" t="e">
        <f t="shared" ca="1" si="11"/>
        <v>#NAME?</v>
      </c>
      <c r="K13" s="228" t="e">
        <f t="shared" ca="1" si="11"/>
        <v>#NAME?</v>
      </c>
      <c r="L13" s="228" t="e">
        <f t="shared" ca="1" si="11"/>
        <v>#NAME?</v>
      </c>
      <c r="M13" s="228" t="e">
        <f t="shared" ca="1" si="11"/>
        <v>#NAME?</v>
      </c>
      <c r="N13" s="228" t="e">
        <f t="shared" ca="1" si="11"/>
        <v>#NAME?</v>
      </c>
      <c r="O13" s="228" t="e">
        <f t="shared" ca="1" si="11"/>
        <v>#NAME?</v>
      </c>
      <c r="P13" s="228" t="e">
        <f t="shared" ca="1" si="11"/>
        <v>#NAME?</v>
      </c>
      <c r="Q13" s="228" t="e">
        <f t="shared" ca="1" si="11"/>
        <v>#NAME?</v>
      </c>
      <c r="R13" s="228" t="e">
        <f t="shared" ca="1" si="11"/>
        <v>#NAME?</v>
      </c>
      <c r="S13" s="228" t="e">
        <f t="shared" ca="1" si="11"/>
        <v>#NAME?</v>
      </c>
      <c r="T13" s="228" t="e">
        <f t="shared" ca="1" si="11"/>
        <v>#NAME?</v>
      </c>
      <c r="U13" s="228" t="e">
        <f t="shared" ca="1" si="11"/>
        <v>#NAME?</v>
      </c>
      <c r="V13" s="228" t="e">
        <f t="shared" ca="1" si="11"/>
        <v>#NAME?</v>
      </c>
      <c r="W13" s="228" t="e">
        <f t="shared" ca="1" si="11"/>
        <v>#NAME?</v>
      </c>
      <c r="X13" s="228" t="e">
        <f t="shared" ca="1" si="11"/>
        <v>#NAME?</v>
      </c>
      <c r="Y13" s="228" t="e">
        <f t="shared" ca="1" si="11"/>
        <v>#NAME?</v>
      </c>
      <c r="Z13" s="228" t="e">
        <f t="shared" ca="1" si="11"/>
        <v>#NAME?</v>
      </c>
      <c r="AA13" s="228" t="e">
        <f t="shared" ca="1" si="11"/>
        <v>#NAME?</v>
      </c>
      <c r="AB13" s="228" t="e">
        <f t="shared" ca="1" si="11"/>
        <v>#NAME?</v>
      </c>
      <c r="AC13" s="228" t="e">
        <f t="shared" ca="1" si="11"/>
        <v>#NAME?</v>
      </c>
      <c r="AD13" s="228" t="e">
        <f t="shared" ca="1" si="11"/>
        <v>#NAME?</v>
      </c>
      <c r="AE13" s="228" t="e">
        <f t="shared" ca="1" si="11"/>
        <v>#NAME?</v>
      </c>
      <c r="AF13" s="228" t="e">
        <f t="shared" ca="1" si="11"/>
        <v>#NAME?</v>
      </c>
      <c r="AG13" s="228" t="e">
        <f t="shared" ca="1" si="11"/>
        <v>#NAME?</v>
      </c>
      <c r="AJ13" s="105" t="s">
        <v>154</v>
      </c>
      <c r="AL13" s="123"/>
      <c r="AM13" s="9"/>
      <c r="AN13" s="1" t="s">
        <v>29</v>
      </c>
      <c r="AO13" s="208">
        <f t="shared" si="6"/>
        <v>1999</v>
      </c>
      <c r="AP13" s="25">
        <f>Input!L75</f>
        <v>1999</v>
      </c>
      <c r="AQ13" s="1" t="s">
        <v>163</v>
      </c>
      <c r="AU13" s="203" t="e">
        <f t="shared" ca="1" si="2"/>
        <v>#NAME?</v>
      </c>
      <c r="AV13" s="203">
        <f t="shared" si="3"/>
        <v>0</v>
      </c>
      <c r="AW13" s="203">
        <f t="shared" si="4"/>
        <v>50</v>
      </c>
      <c r="CB13" s="29"/>
    </row>
    <row r="14" spans="1:80" x14ac:dyDescent="0.2">
      <c r="B14" s="227">
        <f>-Plume!$I$30</f>
        <v>-100</v>
      </c>
      <c r="C14" s="228" t="e">
        <f t="shared" ref="C14:AG14" ca="1" si="12">C12</f>
        <v>#NAME?</v>
      </c>
      <c r="D14" s="228" t="e">
        <f t="shared" ca="1" si="12"/>
        <v>#NAME?</v>
      </c>
      <c r="E14" s="228" t="e">
        <f t="shared" ca="1" si="12"/>
        <v>#NAME?</v>
      </c>
      <c r="F14" s="228" t="e">
        <f t="shared" ca="1" si="12"/>
        <v>#NAME?</v>
      </c>
      <c r="G14" s="228" t="e">
        <f t="shared" ca="1" si="12"/>
        <v>#NAME?</v>
      </c>
      <c r="H14" s="228" t="e">
        <f t="shared" ca="1" si="12"/>
        <v>#NAME?</v>
      </c>
      <c r="I14" s="228" t="e">
        <f t="shared" ca="1" si="12"/>
        <v>#NAME?</v>
      </c>
      <c r="J14" s="228" t="e">
        <f t="shared" ca="1" si="12"/>
        <v>#NAME?</v>
      </c>
      <c r="K14" s="228" t="e">
        <f t="shared" ca="1" si="12"/>
        <v>#NAME?</v>
      </c>
      <c r="L14" s="228" t="e">
        <f t="shared" ca="1" si="12"/>
        <v>#NAME?</v>
      </c>
      <c r="M14" s="228" t="e">
        <f t="shared" ca="1" si="12"/>
        <v>#NAME?</v>
      </c>
      <c r="N14" s="228" t="e">
        <f t="shared" ca="1" si="12"/>
        <v>#NAME?</v>
      </c>
      <c r="O14" s="228" t="e">
        <f t="shared" ca="1" si="12"/>
        <v>#NAME?</v>
      </c>
      <c r="P14" s="228" t="e">
        <f t="shared" ca="1" si="12"/>
        <v>#NAME?</v>
      </c>
      <c r="Q14" s="228" t="e">
        <f t="shared" ca="1" si="12"/>
        <v>#NAME?</v>
      </c>
      <c r="R14" s="228" t="e">
        <f t="shared" ca="1" si="12"/>
        <v>#NAME?</v>
      </c>
      <c r="S14" s="228" t="e">
        <f t="shared" ca="1" si="12"/>
        <v>#NAME?</v>
      </c>
      <c r="T14" s="228" t="e">
        <f t="shared" ca="1" si="12"/>
        <v>#NAME?</v>
      </c>
      <c r="U14" s="228" t="e">
        <f ca="1">U12</f>
        <v>#NAME?</v>
      </c>
      <c r="V14" s="228" t="e">
        <f t="shared" ca="1" si="12"/>
        <v>#NAME?</v>
      </c>
      <c r="W14" s="228" t="e">
        <f t="shared" ca="1" si="12"/>
        <v>#NAME?</v>
      </c>
      <c r="X14" s="228" t="e">
        <f t="shared" ca="1" si="12"/>
        <v>#NAME?</v>
      </c>
      <c r="Y14" s="228" t="e">
        <f t="shared" ca="1" si="12"/>
        <v>#NAME?</v>
      </c>
      <c r="Z14" s="228" t="e">
        <f t="shared" ca="1" si="12"/>
        <v>#NAME?</v>
      </c>
      <c r="AA14" s="228" t="e">
        <f t="shared" ca="1" si="12"/>
        <v>#NAME?</v>
      </c>
      <c r="AB14" s="228" t="e">
        <f t="shared" ca="1" si="12"/>
        <v>#NAME?</v>
      </c>
      <c r="AC14" s="228" t="e">
        <f t="shared" ca="1" si="12"/>
        <v>#NAME?</v>
      </c>
      <c r="AD14" s="228" t="e">
        <f t="shared" ca="1" si="12"/>
        <v>#NAME?</v>
      </c>
      <c r="AE14" s="228" t="e">
        <f t="shared" ca="1" si="12"/>
        <v>#NAME?</v>
      </c>
      <c r="AF14" s="228" t="e">
        <f t="shared" ca="1" si="12"/>
        <v>#NAME?</v>
      </c>
      <c r="AG14" s="228" t="e">
        <f t="shared" ca="1" si="12"/>
        <v>#NAME?</v>
      </c>
      <c r="AJ14" s="105" t="s">
        <v>108</v>
      </c>
      <c r="AL14" s="123"/>
      <c r="AM14" s="9"/>
      <c r="AN14" s="1" t="s">
        <v>30</v>
      </c>
      <c r="AO14" s="208">
        <f t="shared" si="6"/>
        <v>6.2500000000000014E-2</v>
      </c>
      <c r="AP14" s="25">
        <f>Input!L76</f>
        <v>6.2500000000000014E-2</v>
      </c>
      <c r="AQ14" s="1" t="s">
        <v>15</v>
      </c>
      <c r="AU14" s="203" t="e">
        <f t="shared" ca="1" si="2"/>
        <v>#NAME?</v>
      </c>
      <c r="AV14" s="203">
        <f t="shared" si="3"/>
        <v>-100</v>
      </c>
      <c r="AW14" s="203">
        <f t="shared" si="4"/>
        <v>50</v>
      </c>
      <c r="CB14" s="29"/>
    </row>
    <row r="15" spans="1:80" x14ac:dyDescent="0.2">
      <c r="B15" s="227">
        <f>B14-Plume!$I$30</f>
        <v>-200</v>
      </c>
      <c r="C15" s="228" t="e">
        <f t="shared" ref="C15:AG15" ca="1" si="13">C11</f>
        <v>#NAME?</v>
      </c>
      <c r="D15" s="228" t="e">
        <f t="shared" ca="1" si="13"/>
        <v>#NAME?</v>
      </c>
      <c r="E15" s="228" t="e">
        <f t="shared" ca="1" si="13"/>
        <v>#NAME?</v>
      </c>
      <c r="F15" s="228" t="e">
        <f t="shared" ca="1" si="13"/>
        <v>#NAME?</v>
      </c>
      <c r="G15" s="228" t="e">
        <f t="shared" ca="1" si="13"/>
        <v>#NAME?</v>
      </c>
      <c r="H15" s="228" t="e">
        <f t="shared" ca="1" si="13"/>
        <v>#NAME?</v>
      </c>
      <c r="I15" s="228" t="e">
        <f t="shared" ca="1" si="13"/>
        <v>#NAME?</v>
      </c>
      <c r="J15" s="228" t="e">
        <f t="shared" ca="1" si="13"/>
        <v>#NAME?</v>
      </c>
      <c r="K15" s="228" t="e">
        <f t="shared" ca="1" si="13"/>
        <v>#NAME?</v>
      </c>
      <c r="L15" s="228" t="e">
        <f t="shared" ca="1" si="13"/>
        <v>#NAME?</v>
      </c>
      <c r="M15" s="228" t="e">
        <f t="shared" ca="1" si="13"/>
        <v>#NAME?</v>
      </c>
      <c r="N15" s="228" t="e">
        <f t="shared" ca="1" si="13"/>
        <v>#NAME?</v>
      </c>
      <c r="O15" s="228" t="e">
        <f t="shared" ca="1" si="13"/>
        <v>#NAME?</v>
      </c>
      <c r="P15" s="228" t="e">
        <f t="shared" ca="1" si="13"/>
        <v>#NAME?</v>
      </c>
      <c r="Q15" s="228" t="e">
        <f t="shared" ca="1" si="13"/>
        <v>#NAME?</v>
      </c>
      <c r="R15" s="228" t="e">
        <f t="shared" ca="1" si="13"/>
        <v>#NAME?</v>
      </c>
      <c r="S15" s="228" t="e">
        <f t="shared" ca="1" si="13"/>
        <v>#NAME?</v>
      </c>
      <c r="T15" s="228" t="e">
        <f t="shared" ca="1" si="13"/>
        <v>#NAME?</v>
      </c>
      <c r="U15" s="228" t="e">
        <f t="shared" ca="1" si="13"/>
        <v>#NAME?</v>
      </c>
      <c r="V15" s="228" t="e">
        <f t="shared" ca="1" si="13"/>
        <v>#NAME?</v>
      </c>
      <c r="W15" s="228" t="e">
        <f t="shared" ca="1" si="13"/>
        <v>#NAME?</v>
      </c>
      <c r="X15" s="228" t="e">
        <f t="shared" ca="1" si="13"/>
        <v>#NAME?</v>
      </c>
      <c r="Y15" s="228" t="e">
        <f t="shared" ca="1" si="13"/>
        <v>#NAME?</v>
      </c>
      <c r="Z15" s="228" t="e">
        <f t="shared" ca="1" si="13"/>
        <v>#NAME?</v>
      </c>
      <c r="AA15" s="228" t="e">
        <f t="shared" ca="1" si="13"/>
        <v>#NAME?</v>
      </c>
      <c r="AB15" s="228" t="e">
        <f t="shared" ca="1" si="13"/>
        <v>#NAME?</v>
      </c>
      <c r="AC15" s="228" t="e">
        <f t="shared" ca="1" si="13"/>
        <v>#NAME?</v>
      </c>
      <c r="AD15" s="228" t="e">
        <f t="shared" ca="1" si="13"/>
        <v>#NAME?</v>
      </c>
      <c r="AE15" s="228" t="e">
        <f t="shared" ca="1" si="13"/>
        <v>#NAME?</v>
      </c>
      <c r="AF15" s="228" t="e">
        <f t="shared" ca="1" si="13"/>
        <v>#NAME?</v>
      </c>
      <c r="AG15" s="228" t="e">
        <f t="shared" ca="1" si="13"/>
        <v>#NAME?</v>
      </c>
      <c r="AJ15" s="105" t="s">
        <v>155</v>
      </c>
      <c r="AL15" s="123"/>
      <c r="AM15" s="9"/>
      <c r="AN15" s="1" t="s">
        <v>31</v>
      </c>
      <c r="AO15" s="208">
        <f t="shared" si="6"/>
        <v>0.3</v>
      </c>
      <c r="AP15" s="25">
        <f>Input!L77</f>
        <v>0.3</v>
      </c>
      <c r="AQ15" s="1" t="s">
        <v>119</v>
      </c>
      <c r="AU15" s="203" t="e">
        <f t="shared" ca="1" si="2"/>
        <v>#NAME?</v>
      </c>
      <c r="AV15" s="203">
        <f t="shared" si="3"/>
        <v>-200</v>
      </c>
      <c r="AW15" s="203">
        <f t="shared" si="4"/>
        <v>50</v>
      </c>
      <c r="CB15" s="29"/>
    </row>
    <row r="16" spans="1:80" x14ac:dyDescent="0.2">
      <c r="B16" s="227">
        <f>B15-Plume!$I$30</f>
        <v>-300</v>
      </c>
      <c r="C16" s="228" t="e">
        <f t="shared" ref="C16:AG16" ca="1" si="14">C10</f>
        <v>#NAME?</v>
      </c>
      <c r="D16" s="228" t="e">
        <f t="shared" ca="1" si="14"/>
        <v>#NAME?</v>
      </c>
      <c r="E16" s="228" t="e">
        <f t="shared" ca="1" si="14"/>
        <v>#NAME?</v>
      </c>
      <c r="F16" s="228" t="e">
        <f t="shared" ca="1" si="14"/>
        <v>#NAME?</v>
      </c>
      <c r="G16" s="228" t="e">
        <f t="shared" ca="1" si="14"/>
        <v>#NAME?</v>
      </c>
      <c r="H16" s="228" t="e">
        <f t="shared" ca="1" si="14"/>
        <v>#NAME?</v>
      </c>
      <c r="I16" s="228" t="e">
        <f t="shared" ca="1" si="14"/>
        <v>#NAME?</v>
      </c>
      <c r="J16" s="228" t="e">
        <f t="shared" ca="1" si="14"/>
        <v>#NAME?</v>
      </c>
      <c r="K16" s="228" t="e">
        <f t="shared" ca="1" si="14"/>
        <v>#NAME?</v>
      </c>
      <c r="L16" s="228" t="e">
        <f t="shared" ca="1" si="14"/>
        <v>#NAME?</v>
      </c>
      <c r="M16" s="228" t="e">
        <f t="shared" ca="1" si="14"/>
        <v>#NAME?</v>
      </c>
      <c r="N16" s="228" t="e">
        <f t="shared" ca="1" si="14"/>
        <v>#NAME?</v>
      </c>
      <c r="O16" s="228" t="e">
        <f t="shared" ca="1" si="14"/>
        <v>#NAME?</v>
      </c>
      <c r="P16" s="228" t="e">
        <f t="shared" ca="1" si="14"/>
        <v>#NAME?</v>
      </c>
      <c r="Q16" s="228" t="e">
        <f t="shared" ca="1" si="14"/>
        <v>#NAME?</v>
      </c>
      <c r="R16" s="228" t="e">
        <f t="shared" ca="1" si="14"/>
        <v>#NAME?</v>
      </c>
      <c r="S16" s="228" t="e">
        <f t="shared" ca="1" si="14"/>
        <v>#NAME?</v>
      </c>
      <c r="T16" s="228" t="e">
        <f t="shared" ca="1" si="14"/>
        <v>#NAME?</v>
      </c>
      <c r="U16" s="228" t="e">
        <f t="shared" ca="1" si="14"/>
        <v>#NAME?</v>
      </c>
      <c r="V16" s="228" t="e">
        <f t="shared" ca="1" si="14"/>
        <v>#NAME?</v>
      </c>
      <c r="W16" s="228" t="e">
        <f t="shared" ca="1" si="14"/>
        <v>#NAME?</v>
      </c>
      <c r="X16" s="228" t="e">
        <f t="shared" ca="1" si="14"/>
        <v>#NAME?</v>
      </c>
      <c r="Y16" s="228" t="e">
        <f t="shared" ca="1" si="14"/>
        <v>#NAME?</v>
      </c>
      <c r="Z16" s="228" t="e">
        <f t="shared" ca="1" si="14"/>
        <v>#NAME?</v>
      </c>
      <c r="AA16" s="228" t="e">
        <f t="shared" ca="1" si="14"/>
        <v>#NAME?</v>
      </c>
      <c r="AB16" s="228" t="e">
        <f t="shared" ca="1" si="14"/>
        <v>#NAME?</v>
      </c>
      <c r="AC16" s="228" t="e">
        <f t="shared" ca="1" si="14"/>
        <v>#NAME?</v>
      </c>
      <c r="AD16" s="228" t="e">
        <f t="shared" ca="1" si="14"/>
        <v>#NAME?</v>
      </c>
      <c r="AE16" s="228" t="e">
        <f t="shared" ca="1" si="14"/>
        <v>#NAME?</v>
      </c>
      <c r="AF16" s="228" t="e">
        <f t="shared" ca="1" si="14"/>
        <v>#NAME?</v>
      </c>
      <c r="AG16" s="228" t="e">
        <f t="shared" ca="1" si="14"/>
        <v>#NAME?</v>
      </c>
      <c r="AJ16" s="105" t="s">
        <v>6</v>
      </c>
      <c r="AL16" s="123"/>
      <c r="AM16" s="9"/>
      <c r="AN16" s="1" t="s">
        <v>32</v>
      </c>
      <c r="AO16" s="208">
        <f t="shared" si="6"/>
        <v>1.25</v>
      </c>
      <c r="AP16" s="25">
        <f>Input!L78</f>
        <v>1.25</v>
      </c>
      <c r="AQ16" s="1" t="s">
        <v>119</v>
      </c>
      <c r="AU16" s="203" t="e">
        <f t="shared" ca="1" si="2"/>
        <v>#NAME?</v>
      </c>
      <c r="AV16" s="203">
        <f t="shared" si="3"/>
        <v>-300</v>
      </c>
      <c r="AW16" s="203">
        <f t="shared" si="4"/>
        <v>50</v>
      </c>
      <c r="CB16" s="29"/>
    </row>
    <row r="17" spans="1:80" x14ac:dyDescent="0.2">
      <c r="B17" s="227">
        <f>B16-Plume!$I$30</f>
        <v>-400</v>
      </c>
      <c r="C17" s="228" t="e">
        <f t="shared" ref="C17:AG17" ca="1" si="15">C9</f>
        <v>#NAME?</v>
      </c>
      <c r="D17" s="228" t="e">
        <f t="shared" ca="1" si="15"/>
        <v>#NAME?</v>
      </c>
      <c r="E17" s="228" t="e">
        <f t="shared" ca="1" si="15"/>
        <v>#NAME?</v>
      </c>
      <c r="F17" s="228" t="e">
        <f t="shared" ca="1" si="15"/>
        <v>#NAME?</v>
      </c>
      <c r="G17" s="228" t="e">
        <f ca="1">G9</f>
        <v>#NAME?</v>
      </c>
      <c r="H17" s="228" t="e">
        <f t="shared" ca="1" si="15"/>
        <v>#NAME?</v>
      </c>
      <c r="I17" s="228" t="e">
        <f t="shared" ca="1" si="15"/>
        <v>#NAME?</v>
      </c>
      <c r="J17" s="228" t="e">
        <f t="shared" ca="1" si="15"/>
        <v>#NAME?</v>
      </c>
      <c r="K17" s="228" t="e">
        <f t="shared" ca="1" si="15"/>
        <v>#NAME?</v>
      </c>
      <c r="L17" s="228" t="e">
        <f t="shared" ca="1" si="15"/>
        <v>#NAME?</v>
      </c>
      <c r="M17" s="228" t="e">
        <f t="shared" ca="1" si="15"/>
        <v>#NAME?</v>
      </c>
      <c r="N17" s="228" t="e">
        <f t="shared" ca="1" si="15"/>
        <v>#NAME?</v>
      </c>
      <c r="O17" s="228" t="e">
        <f t="shared" ca="1" si="15"/>
        <v>#NAME?</v>
      </c>
      <c r="P17" s="228" t="e">
        <f t="shared" ca="1" si="15"/>
        <v>#NAME?</v>
      </c>
      <c r="Q17" s="228" t="e">
        <f t="shared" ca="1" si="15"/>
        <v>#NAME?</v>
      </c>
      <c r="R17" s="228" t="e">
        <f t="shared" ca="1" si="15"/>
        <v>#NAME?</v>
      </c>
      <c r="S17" s="228" t="e">
        <f t="shared" ca="1" si="15"/>
        <v>#NAME?</v>
      </c>
      <c r="T17" s="228" t="e">
        <f t="shared" ca="1" si="15"/>
        <v>#NAME?</v>
      </c>
      <c r="U17" s="228" t="e">
        <f t="shared" ca="1" si="15"/>
        <v>#NAME?</v>
      </c>
      <c r="V17" s="228" t="e">
        <f t="shared" ca="1" si="15"/>
        <v>#NAME?</v>
      </c>
      <c r="W17" s="228" t="e">
        <f t="shared" ca="1" si="15"/>
        <v>#NAME?</v>
      </c>
      <c r="X17" s="228" t="e">
        <f t="shared" ca="1" si="15"/>
        <v>#NAME?</v>
      </c>
      <c r="Y17" s="228" t="e">
        <f t="shared" ca="1" si="15"/>
        <v>#NAME?</v>
      </c>
      <c r="Z17" s="228" t="e">
        <f t="shared" ca="1" si="15"/>
        <v>#NAME?</v>
      </c>
      <c r="AA17" s="228" t="e">
        <f t="shared" ca="1" si="15"/>
        <v>#NAME?</v>
      </c>
      <c r="AB17" s="228" t="e">
        <f t="shared" ca="1" si="15"/>
        <v>#NAME?</v>
      </c>
      <c r="AC17" s="228" t="e">
        <f t="shared" ca="1" si="15"/>
        <v>#NAME?</v>
      </c>
      <c r="AD17" s="228" t="e">
        <f t="shared" ca="1" si="15"/>
        <v>#NAME?</v>
      </c>
      <c r="AE17" s="228" t="e">
        <f t="shared" ca="1" si="15"/>
        <v>#NAME?</v>
      </c>
      <c r="AF17" s="228" t="e">
        <f t="shared" ca="1" si="15"/>
        <v>#NAME?</v>
      </c>
      <c r="AG17" s="228" t="e">
        <f t="shared" ca="1" si="15"/>
        <v>#NAME?</v>
      </c>
      <c r="AJ17" s="105" t="s">
        <v>7</v>
      </c>
      <c r="AL17" s="123"/>
      <c r="AM17" s="9"/>
      <c r="AN17" s="1" t="s">
        <v>34</v>
      </c>
      <c r="AO17" s="208">
        <f t="shared" si="6"/>
        <v>100</v>
      </c>
      <c r="AP17" s="25">
        <f>Input!L79</f>
        <v>100</v>
      </c>
      <c r="AQ17" s="1" t="s">
        <v>16</v>
      </c>
      <c r="AU17" s="203" t="e">
        <f t="shared" ca="1" si="2"/>
        <v>#NAME?</v>
      </c>
      <c r="AV17" s="203">
        <f t="shared" si="3"/>
        <v>-400</v>
      </c>
      <c r="AW17" s="203">
        <f t="shared" si="4"/>
        <v>50</v>
      </c>
      <c r="CB17" s="29"/>
    </row>
    <row r="18" spans="1:80" x14ac:dyDescent="0.2">
      <c r="B18" s="227">
        <f>B17-Plume!$I$30</f>
        <v>-500</v>
      </c>
      <c r="C18" s="228" t="e">
        <f t="shared" ref="C18:AG18" ca="1" si="16">C8</f>
        <v>#NAME?</v>
      </c>
      <c r="D18" s="228" t="e">
        <f t="shared" ca="1" si="16"/>
        <v>#NAME?</v>
      </c>
      <c r="E18" s="228" t="e">
        <f t="shared" ca="1" si="16"/>
        <v>#NAME?</v>
      </c>
      <c r="F18" s="228" t="e">
        <f t="shared" ca="1" si="16"/>
        <v>#NAME?</v>
      </c>
      <c r="G18" s="228" t="e">
        <f t="shared" ca="1" si="16"/>
        <v>#NAME?</v>
      </c>
      <c r="H18" s="228" t="e">
        <f t="shared" ca="1" si="16"/>
        <v>#NAME?</v>
      </c>
      <c r="I18" s="228" t="e">
        <f t="shared" ca="1" si="16"/>
        <v>#NAME?</v>
      </c>
      <c r="J18" s="228" t="e">
        <f t="shared" ca="1" si="16"/>
        <v>#NAME?</v>
      </c>
      <c r="K18" s="228" t="e">
        <f t="shared" ca="1" si="16"/>
        <v>#NAME?</v>
      </c>
      <c r="L18" s="228" t="e">
        <f t="shared" ca="1" si="16"/>
        <v>#NAME?</v>
      </c>
      <c r="M18" s="228" t="e">
        <f t="shared" ca="1" si="16"/>
        <v>#NAME?</v>
      </c>
      <c r="N18" s="228" t="e">
        <f t="shared" ca="1" si="16"/>
        <v>#NAME?</v>
      </c>
      <c r="O18" s="228" t="e">
        <f t="shared" ca="1" si="16"/>
        <v>#NAME?</v>
      </c>
      <c r="P18" s="228" t="e">
        <f t="shared" ca="1" si="16"/>
        <v>#NAME?</v>
      </c>
      <c r="Q18" s="228" t="e">
        <f t="shared" ca="1" si="16"/>
        <v>#NAME?</v>
      </c>
      <c r="R18" s="228" t="e">
        <f t="shared" ca="1" si="16"/>
        <v>#NAME?</v>
      </c>
      <c r="S18" s="228" t="e">
        <f t="shared" ca="1" si="16"/>
        <v>#NAME?</v>
      </c>
      <c r="T18" s="228" t="e">
        <f t="shared" ca="1" si="16"/>
        <v>#NAME?</v>
      </c>
      <c r="U18" s="228" t="e">
        <f t="shared" ca="1" si="16"/>
        <v>#NAME?</v>
      </c>
      <c r="V18" s="228" t="e">
        <f t="shared" ca="1" si="16"/>
        <v>#NAME?</v>
      </c>
      <c r="W18" s="228" t="e">
        <f t="shared" ca="1" si="16"/>
        <v>#NAME?</v>
      </c>
      <c r="X18" s="228" t="e">
        <f t="shared" ca="1" si="16"/>
        <v>#NAME?</v>
      </c>
      <c r="Y18" s="228" t="e">
        <f t="shared" ca="1" si="16"/>
        <v>#NAME?</v>
      </c>
      <c r="Z18" s="228" t="e">
        <f t="shared" ca="1" si="16"/>
        <v>#NAME?</v>
      </c>
      <c r="AA18" s="228" t="e">
        <f t="shared" ca="1" si="16"/>
        <v>#NAME?</v>
      </c>
      <c r="AB18" s="228" t="e">
        <f t="shared" ca="1" si="16"/>
        <v>#NAME?</v>
      </c>
      <c r="AC18" s="228" t="e">
        <f t="shared" ca="1" si="16"/>
        <v>#NAME?</v>
      </c>
      <c r="AD18" s="228" t="e">
        <f t="shared" ca="1" si="16"/>
        <v>#NAME?</v>
      </c>
      <c r="AE18" s="228" t="e">
        <f t="shared" ca="1" si="16"/>
        <v>#NAME?</v>
      </c>
      <c r="AF18" s="228" t="e">
        <f t="shared" ca="1" si="16"/>
        <v>#NAME?</v>
      </c>
      <c r="AG18" s="228" t="e">
        <f t="shared" ca="1" si="16"/>
        <v>#NAME?</v>
      </c>
      <c r="AJ18" s="105" t="s">
        <v>8</v>
      </c>
      <c r="AL18" s="123"/>
      <c r="AM18" s="31"/>
      <c r="AN18" s="25" t="s">
        <v>35</v>
      </c>
      <c r="AO18" s="208">
        <f t="shared" si="6"/>
        <v>5</v>
      </c>
      <c r="AP18" s="25">
        <f>Input!L80</f>
        <v>5</v>
      </c>
      <c r="AQ18" s="1" t="s">
        <v>16</v>
      </c>
      <c r="AU18" s="203" t="e">
        <f t="shared" ca="1" si="2"/>
        <v>#NAME?</v>
      </c>
      <c r="AV18" s="203">
        <f t="shared" si="3"/>
        <v>-500</v>
      </c>
      <c r="AW18" s="203">
        <f t="shared" si="4"/>
        <v>50</v>
      </c>
      <c r="CB18" s="29"/>
    </row>
    <row r="19" spans="1:80" x14ac:dyDescent="0.2">
      <c r="B19" s="227">
        <f>B18-Plume!$I$30</f>
        <v>-600</v>
      </c>
      <c r="C19" s="228" t="e">
        <f t="shared" ref="C19:AG19" ca="1" si="17">C7</f>
        <v>#NAME?</v>
      </c>
      <c r="D19" s="228" t="e">
        <f t="shared" ca="1" si="17"/>
        <v>#NAME?</v>
      </c>
      <c r="E19" s="228" t="e">
        <f t="shared" ca="1" si="17"/>
        <v>#NAME?</v>
      </c>
      <c r="F19" s="228" t="e">
        <f t="shared" ca="1" si="17"/>
        <v>#NAME?</v>
      </c>
      <c r="G19" s="228" t="e">
        <f t="shared" ca="1" si="17"/>
        <v>#NAME?</v>
      </c>
      <c r="H19" s="228" t="e">
        <f t="shared" ca="1" si="17"/>
        <v>#NAME?</v>
      </c>
      <c r="I19" s="228" t="e">
        <f t="shared" ca="1" si="17"/>
        <v>#NAME?</v>
      </c>
      <c r="J19" s="228" t="e">
        <f t="shared" ca="1" si="17"/>
        <v>#NAME?</v>
      </c>
      <c r="K19" s="228" t="e">
        <f t="shared" ca="1" si="17"/>
        <v>#NAME?</v>
      </c>
      <c r="L19" s="228" t="e">
        <f t="shared" ca="1" si="17"/>
        <v>#NAME?</v>
      </c>
      <c r="M19" s="228" t="e">
        <f t="shared" ca="1" si="17"/>
        <v>#NAME?</v>
      </c>
      <c r="N19" s="228" t="e">
        <f t="shared" ca="1" si="17"/>
        <v>#NAME?</v>
      </c>
      <c r="O19" s="228" t="e">
        <f t="shared" ca="1" si="17"/>
        <v>#NAME?</v>
      </c>
      <c r="P19" s="228" t="e">
        <f t="shared" ca="1" si="17"/>
        <v>#NAME?</v>
      </c>
      <c r="Q19" s="228" t="e">
        <f t="shared" ca="1" si="17"/>
        <v>#NAME?</v>
      </c>
      <c r="R19" s="228" t="e">
        <f t="shared" ca="1" si="17"/>
        <v>#NAME?</v>
      </c>
      <c r="S19" s="228" t="e">
        <f t="shared" ca="1" si="17"/>
        <v>#NAME?</v>
      </c>
      <c r="T19" s="228" t="e">
        <f t="shared" ca="1" si="17"/>
        <v>#NAME?</v>
      </c>
      <c r="U19" s="228" t="e">
        <f t="shared" ca="1" si="17"/>
        <v>#NAME?</v>
      </c>
      <c r="V19" s="228" t="e">
        <f t="shared" ca="1" si="17"/>
        <v>#NAME?</v>
      </c>
      <c r="W19" s="228" t="e">
        <f t="shared" ca="1" si="17"/>
        <v>#NAME?</v>
      </c>
      <c r="X19" s="228" t="e">
        <f t="shared" ca="1" si="17"/>
        <v>#NAME?</v>
      </c>
      <c r="Y19" s="228" t="e">
        <f t="shared" ca="1" si="17"/>
        <v>#NAME?</v>
      </c>
      <c r="Z19" s="228" t="e">
        <f t="shared" ca="1" si="17"/>
        <v>#NAME?</v>
      </c>
      <c r="AA19" s="228" t="e">
        <f t="shared" ca="1" si="17"/>
        <v>#NAME?</v>
      </c>
      <c r="AB19" s="228" t="e">
        <f t="shared" ca="1" si="17"/>
        <v>#NAME?</v>
      </c>
      <c r="AC19" s="228" t="e">
        <f t="shared" ca="1" si="17"/>
        <v>#NAME?</v>
      </c>
      <c r="AD19" s="228" t="e">
        <f t="shared" ca="1" si="17"/>
        <v>#NAME?</v>
      </c>
      <c r="AE19" s="228" t="e">
        <f t="shared" ca="1" si="17"/>
        <v>#NAME?</v>
      </c>
      <c r="AF19" s="228" t="e">
        <f t="shared" ca="1" si="17"/>
        <v>#NAME?</v>
      </c>
      <c r="AG19" s="228" t="e">
        <f t="shared" ca="1" si="17"/>
        <v>#NAME?</v>
      </c>
      <c r="AJ19" s="105" t="s">
        <v>156</v>
      </c>
      <c r="AL19" s="123"/>
      <c r="AM19" s="31"/>
      <c r="AN19" s="25" t="s">
        <v>327</v>
      </c>
      <c r="AO19" s="208">
        <f t="shared" si="6"/>
        <v>1.9E-2</v>
      </c>
      <c r="AP19" s="25">
        <f>Input!L81</f>
        <v>1.9E-2</v>
      </c>
      <c r="AQ19" s="1" t="s">
        <v>119</v>
      </c>
      <c r="AU19" s="203" t="e">
        <f t="shared" ca="1" si="2"/>
        <v>#NAME?</v>
      </c>
      <c r="AV19" s="203">
        <f t="shared" si="3"/>
        <v>-600</v>
      </c>
      <c r="AW19" s="203">
        <f t="shared" si="4"/>
        <v>50</v>
      </c>
      <c r="CB19" s="29"/>
    </row>
    <row r="20" spans="1:80" x14ac:dyDescent="0.2">
      <c r="B20" s="229"/>
      <c r="C20" s="227">
        <f>I29/2</f>
        <v>50</v>
      </c>
      <c r="D20" s="227">
        <f>C20+Plume!I$29</f>
        <v>150</v>
      </c>
      <c r="E20" s="227">
        <f>D20+Plume!I$29</f>
        <v>250</v>
      </c>
      <c r="F20" s="227">
        <f>E20+Plume!I$29</f>
        <v>350</v>
      </c>
      <c r="G20" s="227">
        <f>F20+Plume!I$29</f>
        <v>450</v>
      </c>
      <c r="H20" s="227">
        <f>G20+Plume!I$29</f>
        <v>550</v>
      </c>
      <c r="I20" s="227">
        <f>H20+Plume!I$29</f>
        <v>650</v>
      </c>
      <c r="J20" s="227">
        <f>I20+Plume!I$29</f>
        <v>750</v>
      </c>
      <c r="K20" s="227">
        <f>J20+Plume!I$29</f>
        <v>850</v>
      </c>
      <c r="L20" s="227">
        <f>K20+Plume!I$29</f>
        <v>950</v>
      </c>
      <c r="M20" s="227">
        <f>L20+Plume!I$29</f>
        <v>1050</v>
      </c>
      <c r="N20" s="227">
        <f>M20+Plume!I$29</f>
        <v>1150</v>
      </c>
      <c r="O20" s="227">
        <f>N20+Plume!I$29</f>
        <v>1250</v>
      </c>
      <c r="P20" s="227">
        <f>O20+Plume!I$29</f>
        <v>1350</v>
      </c>
      <c r="Q20" s="227">
        <f>P20+Plume!I$29</f>
        <v>1450</v>
      </c>
      <c r="R20" s="227">
        <f>Q20+Plume!I$29</f>
        <v>1550</v>
      </c>
      <c r="S20" s="227">
        <f>R20+Plume!I$29</f>
        <v>1650</v>
      </c>
      <c r="T20" s="227">
        <f>S20+Plume!I$29</f>
        <v>1750</v>
      </c>
      <c r="U20" s="227">
        <f>T20+Plume!I$29</f>
        <v>1850</v>
      </c>
      <c r="V20" s="227">
        <f>U20+Plume!I$29</f>
        <v>1950</v>
      </c>
      <c r="W20" s="227">
        <f>V20+Plume!I$29</f>
        <v>2050</v>
      </c>
      <c r="X20" s="227">
        <f>W20+Plume!I$29</f>
        <v>2150</v>
      </c>
      <c r="Y20" s="227">
        <f>X20+Plume!I$29</f>
        <v>2250</v>
      </c>
      <c r="Z20" s="227">
        <f>Y20+Plume!I$29</f>
        <v>2350</v>
      </c>
      <c r="AA20" s="227">
        <f>Z20+Plume!I$29</f>
        <v>2450</v>
      </c>
      <c r="AB20" s="227">
        <f>AA20+Plume!I$29</f>
        <v>2550</v>
      </c>
      <c r="AC20" s="227">
        <f>AB20+Plume!I$29</f>
        <v>2650</v>
      </c>
      <c r="AD20" s="227">
        <f>AC20+Plume!I$29</f>
        <v>2750</v>
      </c>
      <c r="AE20" s="227">
        <f>AD20+Plume!I$29</f>
        <v>2850</v>
      </c>
      <c r="AF20" s="227">
        <f>AE20+Plume!I$29</f>
        <v>2950</v>
      </c>
      <c r="AG20" s="227">
        <f>AF20+Plume!I$29</f>
        <v>3050</v>
      </c>
      <c r="AJ20" s="105" t="s">
        <v>330</v>
      </c>
      <c r="AL20" s="123"/>
      <c r="AM20" s="31"/>
      <c r="AN20" s="25" t="s">
        <v>173</v>
      </c>
      <c r="AO20" s="208">
        <f t="shared" si="6"/>
        <v>4.2630856962705735E-4</v>
      </c>
      <c r="AP20" s="134">
        <f>Input!L82</f>
        <v>4.2630856962705735E-4</v>
      </c>
      <c r="AQ20" s="1" t="s">
        <v>17</v>
      </c>
      <c r="AU20" s="203" t="e">
        <f t="shared" ref="AU20:AU32" ca="1" si="18">D7</f>
        <v>#NAME?</v>
      </c>
      <c r="AV20" s="203">
        <f t="shared" ref="AV20:AV33" si="19">AV7</f>
        <v>600</v>
      </c>
      <c r="AW20" s="203">
        <f t="shared" ref="AW20:AW32" si="20">D$6</f>
        <v>150</v>
      </c>
    </row>
    <row r="21" spans="1:80" x14ac:dyDescent="0.2">
      <c r="C21" s="313" t="s">
        <v>19</v>
      </c>
      <c r="D21" s="313"/>
      <c r="E21" s="313"/>
      <c r="F21" s="313"/>
      <c r="G21" s="313"/>
      <c r="H21" s="313"/>
      <c r="I21" s="313"/>
      <c r="J21" s="313"/>
      <c r="K21" s="313"/>
      <c r="L21" s="313"/>
      <c r="M21" s="313"/>
      <c r="N21" s="313"/>
      <c r="O21" s="313"/>
      <c r="P21" s="313"/>
      <c r="Q21" s="313"/>
      <c r="R21" s="313"/>
      <c r="S21" s="313"/>
      <c r="T21" s="313"/>
      <c r="U21" s="313"/>
      <c r="V21" s="313"/>
      <c r="W21" s="313"/>
      <c r="X21" s="313"/>
      <c r="Y21" s="313"/>
      <c r="Z21" s="313"/>
      <c r="AA21" s="313"/>
      <c r="AB21" s="313"/>
      <c r="AC21" s="313"/>
      <c r="AD21" s="313"/>
      <c r="AE21" s="313"/>
      <c r="AF21" s="313"/>
      <c r="AG21" s="313"/>
      <c r="AJ21" s="105" t="s">
        <v>111</v>
      </c>
      <c r="AL21" s="123"/>
      <c r="AM21" s="31"/>
      <c r="AN21" s="25" t="s">
        <v>110</v>
      </c>
      <c r="AO21" s="208">
        <f t="shared" si="6"/>
        <v>1000</v>
      </c>
      <c r="AP21" s="25">
        <f>Input!L83</f>
        <v>1000</v>
      </c>
      <c r="AQ21" s="1" t="s">
        <v>16</v>
      </c>
      <c r="AU21" s="203" t="e">
        <f t="shared" ca="1" si="18"/>
        <v>#NAME?</v>
      </c>
      <c r="AV21" s="203">
        <f t="shared" si="19"/>
        <v>500</v>
      </c>
      <c r="AW21" s="203">
        <f t="shared" si="20"/>
        <v>150</v>
      </c>
    </row>
    <row r="22" spans="1:80" x14ac:dyDescent="0.2">
      <c r="AJ22" s="105" t="s">
        <v>329</v>
      </c>
      <c r="AL22" s="123"/>
      <c r="AM22" s="31"/>
      <c r="AN22" s="25" t="s">
        <v>174</v>
      </c>
      <c r="AO22" s="208">
        <f t="shared" si="6"/>
        <v>3.4059237133822224E-4</v>
      </c>
      <c r="AP22" s="134">
        <f>Input!L84</f>
        <v>3.4059237133822224E-4</v>
      </c>
      <c r="AQ22" s="1" t="s">
        <v>17</v>
      </c>
      <c r="AU22" s="203" t="e">
        <f t="shared" ca="1" si="18"/>
        <v>#NAME?</v>
      </c>
      <c r="AV22" s="203">
        <f t="shared" si="19"/>
        <v>400</v>
      </c>
      <c r="AW22" s="203">
        <f t="shared" si="20"/>
        <v>150</v>
      </c>
    </row>
    <row r="23" spans="1:80" x14ac:dyDescent="0.2">
      <c r="C23" s="26" t="s">
        <v>62</v>
      </c>
      <c r="AJ23" s="105" t="s">
        <v>109</v>
      </c>
      <c r="AL23" s="123"/>
      <c r="AM23" s="31"/>
      <c r="AN23" s="25" t="s">
        <v>92</v>
      </c>
      <c r="AO23" s="208">
        <f t="shared" si="6"/>
        <v>2005</v>
      </c>
      <c r="AP23" s="25">
        <f>Input!L85</f>
        <v>2005</v>
      </c>
      <c r="AQ23" s="1" t="s">
        <v>163</v>
      </c>
      <c r="AU23" s="203" t="e">
        <f t="shared" ca="1" si="18"/>
        <v>#NAME?</v>
      </c>
      <c r="AV23" s="203">
        <f t="shared" si="19"/>
        <v>300</v>
      </c>
      <c r="AW23" s="203">
        <f t="shared" si="20"/>
        <v>150</v>
      </c>
    </row>
    <row r="24" spans="1:80" x14ac:dyDescent="0.2">
      <c r="E24" s="28" t="s">
        <v>21</v>
      </c>
      <c r="L24" s="28" t="s">
        <v>22</v>
      </c>
      <c r="AJ24" s="105" t="s">
        <v>222</v>
      </c>
      <c r="AL24" s="123"/>
      <c r="AM24" s="124"/>
      <c r="AN24" s="25" t="s">
        <v>219</v>
      </c>
      <c r="AO24" s="208">
        <f t="shared" si="6"/>
        <v>50</v>
      </c>
      <c r="AP24" s="25">
        <f>Input!L86</f>
        <v>50</v>
      </c>
      <c r="AQ24" s="1" t="s">
        <v>218</v>
      </c>
      <c r="AU24" s="203" t="e">
        <f t="shared" ca="1" si="18"/>
        <v>#NAME?</v>
      </c>
      <c r="AV24" s="203">
        <f t="shared" si="19"/>
        <v>200</v>
      </c>
      <c r="AW24" s="203">
        <f t="shared" si="20"/>
        <v>150</v>
      </c>
    </row>
    <row r="25" spans="1:80" x14ac:dyDescent="0.2">
      <c r="AJ25" s="105" t="s">
        <v>161</v>
      </c>
      <c r="AL25" s="123"/>
      <c r="AM25" s="124"/>
      <c r="AN25" s="25" t="s">
        <v>281</v>
      </c>
      <c r="AO25" s="208">
        <f t="shared" si="6"/>
        <v>1</v>
      </c>
      <c r="AP25" s="25">
        <f>Input!L87</f>
        <v>1</v>
      </c>
      <c r="AQ25" s="1" t="s">
        <v>119</v>
      </c>
      <c r="AU25" s="203" t="e">
        <f t="shared" ca="1" si="18"/>
        <v>#NAME?</v>
      </c>
      <c r="AV25" s="203">
        <f t="shared" si="19"/>
        <v>100</v>
      </c>
      <c r="AW25" s="203">
        <f t="shared" si="20"/>
        <v>150</v>
      </c>
    </row>
    <row r="26" spans="1:80" x14ac:dyDescent="0.2">
      <c r="A26" s="27"/>
      <c r="B26" s="27"/>
      <c r="AD26" s="143" t="s">
        <v>336</v>
      </c>
      <c r="AE26" s="316" t="s">
        <v>36</v>
      </c>
      <c r="AF26" s="317"/>
      <c r="AG26" s="317"/>
      <c r="AJ26" s="105" t="s">
        <v>328</v>
      </c>
      <c r="AL26" s="123"/>
      <c r="AM26" s="124"/>
      <c r="AN26" s="25" t="s">
        <v>326</v>
      </c>
      <c r="AO26" s="208">
        <f t="shared" si="6"/>
        <v>0</v>
      </c>
      <c r="AP26" s="278">
        <f>Input!L88</f>
        <v>0</v>
      </c>
      <c r="AQ26" s="1" t="s">
        <v>119</v>
      </c>
      <c r="AU26" s="203" t="e">
        <f t="shared" ca="1" si="18"/>
        <v>#NAME?</v>
      </c>
      <c r="AV26" s="203">
        <f t="shared" si="19"/>
        <v>0</v>
      </c>
      <c r="AW26" s="203">
        <f t="shared" si="20"/>
        <v>150</v>
      </c>
    </row>
    <row r="27" spans="1:80" x14ac:dyDescent="0.2">
      <c r="A27" s="27"/>
      <c r="B27" s="27"/>
      <c r="AD27" s="233" t="s">
        <v>343</v>
      </c>
      <c r="AE27" s="320" t="s">
        <v>342</v>
      </c>
      <c r="AF27" s="317"/>
      <c r="AG27" s="317"/>
      <c r="AJ27" s="105"/>
      <c r="AL27" s="123"/>
      <c r="AM27" s="124"/>
      <c r="AQ27" s="1"/>
      <c r="AU27" s="203" t="e">
        <f t="shared" ca="1" si="18"/>
        <v>#NAME?</v>
      </c>
      <c r="AV27" s="203">
        <f t="shared" si="19"/>
        <v>-100</v>
      </c>
      <c r="AW27" s="203">
        <f t="shared" si="20"/>
        <v>150</v>
      </c>
    </row>
    <row r="28" spans="1:80" x14ac:dyDescent="0.2">
      <c r="C28" s="9" t="s">
        <v>66</v>
      </c>
      <c r="I28" s="315">
        <v>1990</v>
      </c>
      <c r="J28" s="315"/>
      <c r="K28" s="9" t="s">
        <v>67</v>
      </c>
      <c r="P28" s="31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J28" s="137" t="s">
        <v>202</v>
      </c>
      <c r="AL28" s="123"/>
      <c r="AM28" s="124"/>
      <c r="AN28" s="97"/>
      <c r="AQ28" s="1"/>
      <c r="AU28" s="203" t="e">
        <f t="shared" ca="1" si="18"/>
        <v>#NAME?</v>
      </c>
      <c r="AV28" s="203">
        <f t="shared" si="19"/>
        <v>-200</v>
      </c>
      <c r="AW28" s="203">
        <f t="shared" si="20"/>
        <v>150</v>
      </c>
    </row>
    <row r="29" spans="1:80" x14ac:dyDescent="0.2">
      <c r="C29" s="28" t="s">
        <v>23</v>
      </c>
      <c r="I29" s="314">
        <v>100</v>
      </c>
      <c r="J29" s="314"/>
      <c r="K29" s="9" t="s">
        <v>37</v>
      </c>
      <c r="P29" s="31"/>
      <c r="T29" s="2"/>
      <c r="U29" s="2"/>
      <c r="V29" s="2"/>
      <c r="W29" s="2"/>
      <c r="X29" s="2"/>
      <c r="Y29" s="2"/>
      <c r="Z29" s="2"/>
      <c r="AA29" s="2"/>
      <c r="AB29" s="2"/>
      <c r="AC29" s="2"/>
      <c r="AD29" s="233" t="s">
        <v>230</v>
      </c>
      <c r="AE29" s="318" t="e">
        <f ca="1">Cnapl($AO$7,$AO$8, $AO$9,$AO$10,$AO$11,$AO$12,$AO$13,$AO$14,$AO$15,$AO$16,$AO$17,$AO$18,$AO$19,$AO$20,$AO$21,$AO$22,$AO$23,$AO$24,$AO$25,$AO$26,AG$20, $B11, AO23,5)</f>
        <v>#NAME?</v>
      </c>
      <c r="AF29" s="318"/>
      <c r="AG29" s="318"/>
      <c r="AH29" s="9" t="s">
        <v>58</v>
      </c>
      <c r="AJ29" s="224"/>
      <c r="AL29" s="123"/>
      <c r="AM29" s="9"/>
      <c r="AN29" s="1"/>
      <c r="AP29" s="2"/>
      <c r="AQ29" s="1"/>
      <c r="AU29" s="203" t="e">
        <f t="shared" ca="1" si="18"/>
        <v>#NAME?</v>
      </c>
      <c r="AV29" s="203">
        <f t="shared" si="19"/>
        <v>-300</v>
      </c>
      <c r="AW29" s="203">
        <f t="shared" si="20"/>
        <v>150</v>
      </c>
    </row>
    <row r="30" spans="1:80" x14ac:dyDescent="0.2">
      <c r="A30" s="28"/>
      <c r="C30" s="9" t="s">
        <v>24</v>
      </c>
      <c r="I30" s="314">
        <v>100</v>
      </c>
      <c r="J30" s="314"/>
      <c r="K30" s="9" t="s">
        <v>37</v>
      </c>
      <c r="P30" s="31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33" t="s">
        <v>229</v>
      </c>
      <c r="AE30" s="319" t="e">
        <f ca="1">Cnapl($AO$7,$AO$8, $AO$9,$AO$10,$AO$11,$AO$12,$AO$13,$AO$14,$AO$15,$AO$16,$AO$17,$AO$18,$AO$19,$AO$20,$AO$21,$AO$22,$AO$23,$AO$24,$AO$25,$AO$26,AG$20, $B11, AO23+0.01,5)</f>
        <v>#NAME?</v>
      </c>
      <c r="AF30" s="319"/>
      <c r="AG30" s="319"/>
      <c r="AH30" s="9" t="s">
        <v>58</v>
      </c>
      <c r="AL30" s="123"/>
      <c r="AM30" s="9"/>
      <c r="AN30" s="2"/>
      <c r="AO30" s="2"/>
      <c r="AP30" s="2"/>
      <c r="AQ30" s="2"/>
      <c r="AU30" s="203" t="e">
        <f t="shared" ca="1" si="18"/>
        <v>#NAME?</v>
      </c>
      <c r="AV30" s="203">
        <f t="shared" si="19"/>
        <v>-400</v>
      </c>
      <c r="AW30" s="203">
        <f t="shared" si="20"/>
        <v>150</v>
      </c>
    </row>
    <row r="31" spans="1:80" x14ac:dyDescent="0.2">
      <c r="P31" s="31"/>
      <c r="T31" s="2"/>
      <c r="U31" s="2"/>
      <c r="V31" s="2"/>
      <c r="W31" s="2"/>
      <c r="X31" s="2"/>
      <c r="Y31" s="2"/>
      <c r="Z31" s="2"/>
      <c r="AA31" s="2"/>
      <c r="AB31" s="2"/>
      <c r="AC31" s="2"/>
      <c r="AD31" s="233" t="s">
        <v>231</v>
      </c>
      <c r="AE31" s="319" t="e">
        <f ca="1">Cnapl($AO$7,$AO$8, $AO$9,$AO$10,$AO$11,$AO$12,$AO$13,$AO$14,$AO$15,$AO$16,$AO$17,$AO$18,$AO$19,$AO$20,$AO$21,$AO$22,$AO$23,$AO$24,$AO$25,$AO$26,AG$20, $B11, $I$28,5)</f>
        <v>#NAME?</v>
      </c>
      <c r="AF31" s="319"/>
      <c r="AG31" s="319"/>
      <c r="AH31" s="9" t="s">
        <v>58</v>
      </c>
      <c r="AJ31" s="29"/>
      <c r="AK31" s="102"/>
      <c r="AL31" s="29"/>
      <c r="AU31" s="203" t="e">
        <f t="shared" ca="1" si="18"/>
        <v>#NAME?</v>
      </c>
      <c r="AV31" s="203">
        <f t="shared" si="19"/>
        <v>-500</v>
      </c>
      <c r="AW31" s="203">
        <f t="shared" si="20"/>
        <v>150</v>
      </c>
    </row>
    <row r="32" spans="1:80" x14ac:dyDescent="0.2">
      <c r="C32" s="9" t="s">
        <v>70</v>
      </c>
      <c r="E32" s="31"/>
      <c r="G32" s="312"/>
      <c r="H32" s="312"/>
      <c r="I32" s="312">
        <f>I29*31</f>
        <v>3100</v>
      </c>
      <c r="J32" s="312"/>
      <c r="K32" s="9" t="s">
        <v>16</v>
      </c>
      <c r="P32" s="31"/>
      <c r="T32" s="2"/>
      <c r="U32" s="2"/>
      <c r="V32" s="2"/>
      <c r="W32" s="2"/>
      <c r="X32" s="2"/>
      <c r="Y32" s="2"/>
      <c r="Z32" s="2"/>
      <c r="AA32" s="2"/>
      <c r="AB32" s="2"/>
      <c r="AC32" s="2"/>
      <c r="AD32" s="233" t="s">
        <v>232</v>
      </c>
      <c r="AE32" s="322" t="e">
        <f ca="1">SUM(AG7:AG19)*I30*AO14*AO11/1000000</f>
        <v>#NAME?</v>
      </c>
      <c r="AF32" s="322"/>
      <c r="AG32" s="322"/>
      <c r="AH32" s="9" t="s">
        <v>58</v>
      </c>
      <c r="AJ32" s="29"/>
      <c r="AK32" s="101"/>
      <c r="AL32" s="29"/>
      <c r="AU32" s="203" t="e">
        <f t="shared" ca="1" si="18"/>
        <v>#NAME?</v>
      </c>
      <c r="AV32" s="203">
        <f t="shared" si="19"/>
        <v>-600</v>
      </c>
      <c r="AW32" s="203">
        <f t="shared" si="20"/>
        <v>150</v>
      </c>
    </row>
    <row r="33" spans="2:49" x14ac:dyDescent="0.2">
      <c r="C33" s="9" t="s">
        <v>69</v>
      </c>
      <c r="E33" s="31"/>
      <c r="G33" s="321"/>
      <c r="H33" s="321"/>
      <c r="I33" s="312">
        <f>13*I30</f>
        <v>1300</v>
      </c>
      <c r="J33" s="312"/>
      <c r="K33" s="9" t="s">
        <v>16</v>
      </c>
      <c r="P33" s="31"/>
      <c r="T33" s="2"/>
      <c r="U33" s="2"/>
      <c r="V33" s="2"/>
      <c r="W33" s="2"/>
      <c r="X33" s="2"/>
      <c r="Y33" s="2"/>
      <c r="Z33" s="2"/>
      <c r="AA33" s="2"/>
      <c r="AB33" s="2"/>
      <c r="AC33" s="2"/>
      <c r="AJ33" s="29"/>
      <c r="AK33" s="29"/>
      <c r="AL33" s="29"/>
      <c r="AU33" s="203" t="e">
        <f ca="1">E7</f>
        <v>#NAME?</v>
      </c>
      <c r="AV33" s="203">
        <f t="shared" si="19"/>
        <v>600</v>
      </c>
      <c r="AW33" s="203">
        <f>E$6</f>
        <v>250</v>
      </c>
    </row>
    <row r="34" spans="2:49" x14ac:dyDescent="0.2">
      <c r="E34" s="31"/>
      <c r="G34" s="25"/>
      <c r="H34" s="25"/>
      <c r="I34" s="29"/>
      <c r="J34" s="29"/>
      <c r="P34" s="31"/>
      <c r="T34" s="2"/>
      <c r="U34" s="2"/>
      <c r="V34" s="2"/>
      <c r="W34" s="2"/>
      <c r="X34" s="2"/>
      <c r="Y34" s="2"/>
      <c r="Z34" s="2"/>
      <c r="AA34" s="2"/>
      <c r="AB34" s="2"/>
      <c r="AC34" s="2"/>
      <c r="AJ34" s="29"/>
      <c r="AK34" s="29"/>
      <c r="AL34" s="29"/>
      <c r="AU34" s="203"/>
      <c r="AV34" s="203"/>
      <c r="AW34" s="203"/>
    </row>
    <row r="35" spans="2:49" x14ac:dyDescent="0.2">
      <c r="E35" s="31"/>
      <c r="G35" s="25"/>
      <c r="H35" s="25"/>
      <c r="I35" s="29"/>
      <c r="J35" s="29"/>
      <c r="P35" s="31"/>
      <c r="T35" s="2"/>
      <c r="U35" s="2"/>
      <c r="V35" s="2"/>
      <c r="W35" s="2"/>
      <c r="X35" s="2"/>
      <c r="Y35" s="2"/>
      <c r="Z35" s="2"/>
      <c r="AA35" s="2"/>
      <c r="AB35" s="2"/>
      <c r="AC35" s="2"/>
      <c r="AJ35" s="29"/>
      <c r="AK35" s="29"/>
      <c r="AL35" s="29"/>
      <c r="AU35" s="203"/>
      <c r="AV35" s="203"/>
      <c r="AW35" s="203"/>
    </row>
    <row r="36" spans="2:49" x14ac:dyDescent="0.2">
      <c r="E36" s="31"/>
      <c r="G36" s="25"/>
      <c r="H36" s="25"/>
      <c r="I36" s="29"/>
      <c r="J36" s="29"/>
      <c r="P36" s="31"/>
      <c r="T36" s="2"/>
      <c r="U36" s="2"/>
      <c r="V36" s="2"/>
      <c r="W36" s="2"/>
      <c r="X36" s="2"/>
      <c r="Y36" s="2"/>
      <c r="Z36" s="2"/>
      <c r="AA36" s="2"/>
      <c r="AB36" s="2"/>
      <c r="AC36" s="2"/>
      <c r="AJ36" s="29"/>
      <c r="AK36" s="29"/>
      <c r="AL36" s="29"/>
      <c r="AU36" s="203"/>
      <c r="AV36" s="203"/>
      <c r="AW36" s="203"/>
    </row>
    <row r="37" spans="2:49" x14ac:dyDescent="0.2">
      <c r="E37" s="31"/>
      <c r="G37" s="25"/>
      <c r="H37" s="25"/>
      <c r="I37" s="29"/>
      <c r="J37" s="29"/>
      <c r="P37" s="31"/>
      <c r="T37" s="2"/>
      <c r="U37" s="2"/>
      <c r="V37" s="2"/>
      <c r="W37" s="2"/>
      <c r="X37" s="2"/>
      <c r="Y37" s="2"/>
      <c r="Z37" s="2"/>
      <c r="AA37" s="2"/>
      <c r="AB37" s="2"/>
      <c r="AC37" s="2"/>
      <c r="AJ37" s="29"/>
      <c r="AK37" s="29"/>
      <c r="AL37" s="29"/>
      <c r="AU37" s="203"/>
      <c r="AV37" s="203"/>
      <c r="AW37" s="203"/>
    </row>
    <row r="38" spans="2:49" x14ac:dyDescent="0.2">
      <c r="E38" s="31"/>
      <c r="G38" s="25"/>
      <c r="H38" s="25"/>
      <c r="I38" s="29"/>
      <c r="J38" s="29"/>
      <c r="P38" s="31"/>
      <c r="T38" s="2"/>
      <c r="U38" s="2"/>
      <c r="V38" s="2"/>
      <c r="W38" s="2"/>
      <c r="X38" s="2"/>
      <c r="Y38" s="2"/>
      <c r="Z38" s="2"/>
      <c r="AA38" s="2"/>
      <c r="AB38" s="2"/>
      <c r="AC38" s="2"/>
      <c r="AJ38" s="29"/>
      <c r="AK38" s="29"/>
      <c r="AL38" s="29"/>
      <c r="AU38" s="203"/>
      <c r="AV38" s="203"/>
      <c r="AW38" s="203"/>
    </row>
    <row r="39" spans="2:49" x14ac:dyDescent="0.2">
      <c r="E39" s="31"/>
      <c r="G39" s="25"/>
      <c r="H39" s="25"/>
      <c r="I39" s="29"/>
      <c r="J39" s="29"/>
      <c r="P39" s="31"/>
      <c r="T39" s="2"/>
      <c r="U39" s="2"/>
      <c r="V39" s="2"/>
      <c r="W39" s="2"/>
      <c r="X39" s="2"/>
      <c r="Y39" s="2"/>
      <c r="Z39" s="2"/>
      <c r="AA39" s="2"/>
      <c r="AB39" s="2"/>
      <c r="AC39" s="2"/>
      <c r="AJ39" s="29"/>
      <c r="AK39" s="29"/>
      <c r="AL39" s="29"/>
      <c r="AU39" s="203"/>
      <c r="AV39" s="203"/>
      <c r="AW39" s="203"/>
    </row>
    <row r="40" spans="2:49" x14ac:dyDescent="0.2">
      <c r="E40" s="31"/>
      <c r="G40" s="25"/>
      <c r="H40" s="25"/>
      <c r="I40" s="29"/>
      <c r="J40" s="29"/>
      <c r="P40" s="31"/>
      <c r="T40" s="2"/>
      <c r="U40" s="2"/>
      <c r="V40" s="2"/>
      <c r="W40" s="2"/>
      <c r="X40" s="2"/>
      <c r="Y40" s="2"/>
      <c r="Z40" s="2"/>
      <c r="AA40" s="2"/>
      <c r="AB40" s="2"/>
      <c r="AC40" s="2"/>
      <c r="AJ40" s="29"/>
      <c r="AK40" s="29"/>
      <c r="AL40" s="29"/>
      <c r="AU40" s="203"/>
      <c r="AV40" s="203"/>
      <c r="AW40" s="203"/>
    </row>
    <row r="41" spans="2:49" x14ac:dyDescent="0.2">
      <c r="E41" s="31"/>
      <c r="G41" s="25"/>
      <c r="H41" s="25"/>
      <c r="I41" s="29"/>
      <c r="J41" s="29"/>
      <c r="P41" s="31"/>
      <c r="T41" s="2"/>
      <c r="U41" s="2"/>
      <c r="V41" s="2"/>
      <c r="W41" s="2"/>
      <c r="X41" s="2"/>
      <c r="Y41" s="2"/>
      <c r="Z41" s="2"/>
      <c r="AA41" s="2"/>
      <c r="AB41" s="2"/>
      <c r="AC41" s="2"/>
      <c r="AJ41" s="29"/>
      <c r="AK41" s="29"/>
      <c r="AL41" s="29"/>
      <c r="AU41" s="203"/>
      <c r="AV41" s="203"/>
      <c r="AW41" s="203"/>
    </row>
    <row r="42" spans="2:49" x14ac:dyDescent="0.2">
      <c r="E42" s="31"/>
      <c r="G42" s="25"/>
      <c r="H42" s="25"/>
      <c r="I42" s="29"/>
      <c r="J42" s="29"/>
      <c r="P42" s="31"/>
      <c r="T42" s="2"/>
      <c r="U42" s="2"/>
      <c r="V42" s="2"/>
      <c r="W42" s="2"/>
      <c r="X42" s="2"/>
      <c r="Y42" s="2"/>
      <c r="Z42" s="2"/>
      <c r="AA42" s="2"/>
      <c r="AB42" s="2"/>
      <c r="AC42" s="2"/>
      <c r="AJ42" s="29"/>
      <c r="AK42" s="29"/>
      <c r="AL42" s="29"/>
      <c r="AU42" s="203"/>
      <c r="AV42" s="203"/>
      <c r="AW42" s="203"/>
    </row>
    <row r="43" spans="2:49" x14ac:dyDescent="0.2">
      <c r="C43" s="282" t="s">
        <v>338</v>
      </c>
      <c r="E43" s="31"/>
      <c r="G43" s="25"/>
      <c r="H43" s="25"/>
      <c r="I43" s="29"/>
      <c r="J43" s="29"/>
      <c r="P43" s="31"/>
      <c r="T43" s="2"/>
      <c r="U43" s="2"/>
      <c r="V43" s="2"/>
      <c r="W43" s="2"/>
      <c r="X43" s="2"/>
      <c r="Y43" s="2"/>
      <c r="Z43" s="2"/>
      <c r="AA43" s="2"/>
      <c r="AB43" s="2"/>
      <c r="AC43" s="2"/>
      <c r="AJ43" s="29"/>
      <c r="AK43" s="29"/>
      <c r="AL43" s="29"/>
      <c r="AU43" s="203"/>
      <c r="AV43" s="203"/>
      <c r="AW43" s="203"/>
    </row>
    <row r="44" spans="2:49" x14ac:dyDescent="0.2">
      <c r="C44" s="227">
        <f>C6</f>
        <v>50</v>
      </c>
      <c r="D44" s="227">
        <f t="shared" ref="D44:AG44" si="21">D6</f>
        <v>150</v>
      </c>
      <c r="E44" s="227">
        <f t="shared" si="21"/>
        <v>250</v>
      </c>
      <c r="F44" s="227">
        <f t="shared" si="21"/>
        <v>350</v>
      </c>
      <c r="G44" s="227">
        <f t="shared" si="21"/>
        <v>450</v>
      </c>
      <c r="H44" s="227">
        <f t="shared" si="21"/>
        <v>550</v>
      </c>
      <c r="I44" s="227">
        <f t="shared" si="21"/>
        <v>650</v>
      </c>
      <c r="J44" s="227">
        <f t="shared" si="21"/>
        <v>750</v>
      </c>
      <c r="K44" s="227">
        <f t="shared" si="21"/>
        <v>850</v>
      </c>
      <c r="L44" s="227">
        <f t="shared" si="21"/>
        <v>950</v>
      </c>
      <c r="M44" s="227">
        <f t="shared" si="21"/>
        <v>1050</v>
      </c>
      <c r="N44" s="227">
        <f t="shared" si="21"/>
        <v>1150</v>
      </c>
      <c r="O44" s="227">
        <f t="shared" si="21"/>
        <v>1250</v>
      </c>
      <c r="P44" s="227">
        <f t="shared" si="21"/>
        <v>1350</v>
      </c>
      <c r="Q44" s="227">
        <f t="shared" si="21"/>
        <v>1450</v>
      </c>
      <c r="R44" s="227">
        <f t="shared" si="21"/>
        <v>1550</v>
      </c>
      <c r="S44" s="227">
        <f t="shared" si="21"/>
        <v>1650</v>
      </c>
      <c r="T44" s="227">
        <f t="shared" si="21"/>
        <v>1750</v>
      </c>
      <c r="U44" s="227">
        <f t="shared" si="21"/>
        <v>1850</v>
      </c>
      <c r="V44" s="227">
        <f t="shared" si="21"/>
        <v>1950</v>
      </c>
      <c r="W44" s="227">
        <f t="shared" si="21"/>
        <v>2050</v>
      </c>
      <c r="X44" s="227">
        <f t="shared" si="21"/>
        <v>2150</v>
      </c>
      <c r="Y44" s="227">
        <f t="shared" si="21"/>
        <v>2250</v>
      </c>
      <c r="Z44" s="227">
        <f t="shared" si="21"/>
        <v>2350</v>
      </c>
      <c r="AA44" s="227">
        <f t="shared" si="21"/>
        <v>2450</v>
      </c>
      <c r="AB44" s="227">
        <f t="shared" si="21"/>
        <v>2550</v>
      </c>
      <c r="AC44" s="227">
        <f t="shared" si="21"/>
        <v>2650</v>
      </c>
      <c r="AD44" s="227">
        <f t="shared" si="21"/>
        <v>2750</v>
      </c>
      <c r="AE44" s="227">
        <f t="shared" si="21"/>
        <v>2850</v>
      </c>
      <c r="AF44" s="227">
        <f t="shared" si="21"/>
        <v>2950</v>
      </c>
      <c r="AG44" s="227">
        <f t="shared" si="21"/>
        <v>3050</v>
      </c>
      <c r="AJ44" s="29"/>
      <c r="AK44" s="29"/>
      <c r="AL44" s="29"/>
      <c r="AU44" s="203"/>
      <c r="AV44" s="203"/>
      <c r="AW44" s="203"/>
    </row>
    <row r="45" spans="2:49" x14ac:dyDescent="0.2">
      <c r="B45" s="227">
        <f t="shared" ref="B45:B57" si="22">B7</f>
        <v>600</v>
      </c>
      <c r="C45" s="228" t="e">
        <f t="shared" ref="C45:C51" ca="1" si="23">MAX(0.01,Cnapl($AO$7,$AO$8, $AO$9,$AO$10,$AO$11,$AO$12,$AO$13,$AO$14,$AO$15,$AO$16,$AO$17,$AO$18,$AO$19,$AO$20,$AO$21,$AO$22,$AO$23,$AO$24,$AO$25,$AO$26,C$20, $B7, $I$28,0))+IF($AE$26="yes",C85,0)</f>
        <v>#NAME?</v>
      </c>
      <c r="D45" s="228" t="e">
        <f t="shared" ref="D45:AG45" ca="1" si="24">MAX(0.01,Cnapl($AO$7,$AO$8, $AO$9,$AO$10,$AO$11,$AO$12,$AO$13,$AO$14,$AO$15,$AO$16,$AO$17,$AO$18,$AO$19,$AO$20,$AO$21,$AO$22,$AO$23,$AO$24,$AO$25,$AO$26,D$20, $B7, $I$28,0))+IF($AE$26="yes",D85,0)</f>
        <v>#NAME?</v>
      </c>
      <c r="E45" s="228" t="e">
        <f t="shared" ca="1" si="24"/>
        <v>#NAME?</v>
      </c>
      <c r="F45" s="228" t="e">
        <f t="shared" ca="1" si="24"/>
        <v>#NAME?</v>
      </c>
      <c r="G45" s="228" t="e">
        <f t="shared" ca="1" si="24"/>
        <v>#NAME?</v>
      </c>
      <c r="H45" s="228" t="e">
        <f t="shared" ca="1" si="24"/>
        <v>#NAME?</v>
      </c>
      <c r="I45" s="228" t="e">
        <f t="shared" ca="1" si="24"/>
        <v>#NAME?</v>
      </c>
      <c r="J45" s="228" t="e">
        <f t="shared" ca="1" si="24"/>
        <v>#NAME?</v>
      </c>
      <c r="K45" s="228" t="e">
        <f t="shared" ca="1" si="24"/>
        <v>#NAME?</v>
      </c>
      <c r="L45" s="228" t="e">
        <f t="shared" ca="1" si="24"/>
        <v>#NAME?</v>
      </c>
      <c r="M45" s="228" t="e">
        <f t="shared" ca="1" si="24"/>
        <v>#NAME?</v>
      </c>
      <c r="N45" s="228" t="e">
        <f t="shared" ca="1" si="24"/>
        <v>#NAME?</v>
      </c>
      <c r="O45" s="228" t="e">
        <f t="shared" ca="1" si="24"/>
        <v>#NAME?</v>
      </c>
      <c r="P45" s="228" t="e">
        <f t="shared" ca="1" si="24"/>
        <v>#NAME?</v>
      </c>
      <c r="Q45" s="228" t="e">
        <f t="shared" ca="1" si="24"/>
        <v>#NAME?</v>
      </c>
      <c r="R45" s="228" t="e">
        <f t="shared" ca="1" si="24"/>
        <v>#NAME?</v>
      </c>
      <c r="S45" s="228" t="e">
        <f t="shared" ca="1" si="24"/>
        <v>#NAME?</v>
      </c>
      <c r="T45" s="228" t="e">
        <f t="shared" ca="1" si="24"/>
        <v>#NAME?</v>
      </c>
      <c r="U45" s="228" t="e">
        <f t="shared" ca="1" si="24"/>
        <v>#NAME?</v>
      </c>
      <c r="V45" s="228" t="e">
        <f t="shared" ca="1" si="24"/>
        <v>#NAME?</v>
      </c>
      <c r="W45" s="228" t="e">
        <f t="shared" ca="1" si="24"/>
        <v>#NAME?</v>
      </c>
      <c r="X45" s="228" t="e">
        <f t="shared" ca="1" si="24"/>
        <v>#NAME?</v>
      </c>
      <c r="Y45" s="228" t="e">
        <f t="shared" ca="1" si="24"/>
        <v>#NAME?</v>
      </c>
      <c r="Z45" s="228" t="e">
        <f t="shared" ca="1" si="24"/>
        <v>#NAME?</v>
      </c>
      <c r="AA45" s="228" t="e">
        <f t="shared" ca="1" si="24"/>
        <v>#NAME?</v>
      </c>
      <c r="AB45" s="228" t="e">
        <f t="shared" ca="1" si="24"/>
        <v>#NAME?</v>
      </c>
      <c r="AC45" s="228" t="e">
        <f t="shared" ca="1" si="24"/>
        <v>#NAME?</v>
      </c>
      <c r="AD45" s="228" t="e">
        <f t="shared" ca="1" si="24"/>
        <v>#NAME?</v>
      </c>
      <c r="AE45" s="228" t="e">
        <f t="shared" ca="1" si="24"/>
        <v>#NAME?</v>
      </c>
      <c r="AF45" s="228" t="e">
        <f t="shared" ca="1" si="24"/>
        <v>#NAME?</v>
      </c>
      <c r="AG45" s="228" t="e">
        <f t="shared" ca="1" si="24"/>
        <v>#NAME?</v>
      </c>
      <c r="AJ45" s="29"/>
      <c r="AK45" s="29"/>
      <c r="AL45" s="29"/>
      <c r="AU45" s="203"/>
      <c r="AV45" s="203"/>
      <c r="AW45" s="203"/>
    </row>
    <row r="46" spans="2:49" x14ac:dyDescent="0.2">
      <c r="B46" s="227">
        <f t="shared" si="22"/>
        <v>500</v>
      </c>
      <c r="C46" s="228" t="e">
        <f t="shared" ca="1" si="23"/>
        <v>#NAME?</v>
      </c>
      <c r="D46" s="228" t="e">
        <f t="shared" ref="D46:AG46" ca="1" si="25">MAX(0.01,Cnapl($AO$7,$AO$8, $AO$9,$AO$10,$AO$11,$AO$12,$AO$13,$AO$14,$AO$15,$AO$16,$AO$17,$AO$18,$AO$19,$AO$20,$AO$21,$AO$22,$AO$23,$AO$24,$AO$25,$AO$26,D$20, $B8, $I$28,0))+IF($AE$26="yes",D86,0)</f>
        <v>#NAME?</v>
      </c>
      <c r="E46" s="228" t="e">
        <f t="shared" ca="1" si="25"/>
        <v>#NAME?</v>
      </c>
      <c r="F46" s="228" t="e">
        <f t="shared" ca="1" si="25"/>
        <v>#NAME?</v>
      </c>
      <c r="G46" s="228" t="e">
        <f t="shared" ca="1" si="25"/>
        <v>#NAME?</v>
      </c>
      <c r="H46" s="228" t="e">
        <f t="shared" ca="1" si="25"/>
        <v>#NAME?</v>
      </c>
      <c r="I46" s="228" t="e">
        <f t="shared" ca="1" si="25"/>
        <v>#NAME?</v>
      </c>
      <c r="J46" s="228" t="e">
        <f t="shared" ca="1" si="25"/>
        <v>#NAME?</v>
      </c>
      <c r="K46" s="228" t="e">
        <f t="shared" ca="1" si="25"/>
        <v>#NAME?</v>
      </c>
      <c r="L46" s="228" t="e">
        <f t="shared" ca="1" si="25"/>
        <v>#NAME?</v>
      </c>
      <c r="M46" s="228" t="e">
        <f t="shared" ca="1" si="25"/>
        <v>#NAME?</v>
      </c>
      <c r="N46" s="228" t="e">
        <f t="shared" ca="1" si="25"/>
        <v>#NAME?</v>
      </c>
      <c r="O46" s="228" t="e">
        <f t="shared" ca="1" si="25"/>
        <v>#NAME?</v>
      </c>
      <c r="P46" s="228" t="e">
        <f t="shared" ca="1" si="25"/>
        <v>#NAME?</v>
      </c>
      <c r="Q46" s="228" t="e">
        <f t="shared" ca="1" si="25"/>
        <v>#NAME?</v>
      </c>
      <c r="R46" s="228" t="e">
        <f t="shared" ca="1" si="25"/>
        <v>#NAME?</v>
      </c>
      <c r="S46" s="228" t="e">
        <f t="shared" ca="1" si="25"/>
        <v>#NAME?</v>
      </c>
      <c r="T46" s="228" t="e">
        <f t="shared" ca="1" si="25"/>
        <v>#NAME?</v>
      </c>
      <c r="U46" s="228" t="e">
        <f t="shared" ca="1" si="25"/>
        <v>#NAME?</v>
      </c>
      <c r="V46" s="228" t="e">
        <f t="shared" ca="1" si="25"/>
        <v>#NAME?</v>
      </c>
      <c r="W46" s="228" t="e">
        <f t="shared" ca="1" si="25"/>
        <v>#NAME?</v>
      </c>
      <c r="X46" s="228" t="e">
        <f t="shared" ca="1" si="25"/>
        <v>#NAME?</v>
      </c>
      <c r="Y46" s="228" t="e">
        <f t="shared" ca="1" si="25"/>
        <v>#NAME?</v>
      </c>
      <c r="Z46" s="228" t="e">
        <f t="shared" ca="1" si="25"/>
        <v>#NAME?</v>
      </c>
      <c r="AA46" s="228" t="e">
        <f t="shared" ca="1" si="25"/>
        <v>#NAME?</v>
      </c>
      <c r="AB46" s="228" t="e">
        <f t="shared" ca="1" si="25"/>
        <v>#NAME?</v>
      </c>
      <c r="AC46" s="228" t="e">
        <f t="shared" ca="1" si="25"/>
        <v>#NAME?</v>
      </c>
      <c r="AD46" s="228" t="e">
        <f t="shared" ca="1" si="25"/>
        <v>#NAME?</v>
      </c>
      <c r="AE46" s="228" t="e">
        <f t="shared" ca="1" si="25"/>
        <v>#NAME?</v>
      </c>
      <c r="AF46" s="228" t="e">
        <f t="shared" ca="1" si="25"/>
        <v>#NAME?</v>
      </c>
      <c r="AG46" s="228" t="e">
        <f t="shared" ca="1" si="25"/>
        <v>#NAME?</v>
      </c>
      <c r="AJ46" s="29"/>
      <c r="AK46" s="29"/>
      <c r="AL46" s="29"/>
      <c r="AU46" s="203"/>
      <c r="AV46" s="203"/>
      <c r="AW46" s="203"/>
    </row>
    <row r="47" spans="2:49" x14ac:dyDescent="0.2">
      <c r="B47" s="227">
        <f t="shared" si="22"/>
        <v>400</v>
      </c>
      <c r="C47" s="228" t="e">
        <f t="shared" ca="1" si="23"/>
        <v>#NAME?</v>
      </c>
      <c r="D47" s="228" t="e">
        <f t="shared" ref="D47:AG47" ca="1" si="26">MAX(0.01,Cnapl($AO$7,$AO$8, $AO$9,$AO$10,$AO$11,$AO$12,$AO$13,$AO$14,$AO$15,$AO$16,$AO$17,$AO$18,$AO$19,$AO$20,$AO$21,$AO$22,$AO$23,$AO$24,$AO$25,$AO$26,D$20, $B9, $I$28,0))+IF($AE$26="yes",D87,0)</f>
        <v>#NAME?</v>
      </c>
      <c r="E47" s="228" t="e">
        <f t="shared" ca="1" si="26"/>
        <v>#NAME?</v>
      </c>
      <c r="F47" s="228" t="e">
        <f t="shared" ca="1" si="26"/>
        <v>#NAME?</v>
      </c>
      <c r="G47" s="228" t="e">
        <f t="shared" ca="1" si="26"/>
        <v>#NAME?</v>
      </c>
      <c r="H47" s="228" t="e">
        <f t="shared" ca="1" si="26"/>
        <v>#NAME?</v>
      </c>
      <c r="I47" s="228" t="e">
        <f t="shared" ca="1" si="26"/>
        <v>#NAME?</v>
      </c>
      <c r="J47" s="228" t="e">
        <f t="shared" ca="1" si="26"/>
        <v>#NAME?</v>
      </c>
      <c r="K47" s="228" t="e">
        <f t="shared" ca="1" si="26"/>
        <v>#NAME?</v>
      </c>
      <c r="L47" s="228" t="e">
        <f t="shared" ca="1" si="26"/>
        <v>#NAME?</v>
      </c>
      <c r="M47" s="228" t="e">
        <f t="shared" ca="1" si="26"/>
        <v>#NAME?</v>
      </c>
      <c r="N47" s="228" t="e">
        <f t="shared" ca="1" si="26"/>
        <v>#NAME?</v>
      </c>
      <c r="O47" s="228" t="e">
        <f t="shared" ca="1" si="26"/>
        <v>#NAME?</v>
      </c>
      <c r="P47" s="228" t="e">
        <f t="shared" ca="1" si="26"/>
        <v>#NAME?</v>
      </c>
      <c r="Q47" s="228" t="e">
        <f t="shared" ca="1" si="26"/>
        <v>#NAME?</v>
      </c>
      <c r="R47" s="228" t="e">
        <f t="shared" ca="1" si="26"/>
        <v>#NAME?</v>
      </c>
      <c r="S47" s="228" t="e">
        <f t="shared" ca="1" si="26"/>
        <v>#NAME?</v>
      </c>
      <c r="T47" s="228" t="e">
        <f t="shared" ca="1" si="26"/>
        <v>#NAME?</v>
      </c>
      <c r="U47" s="228" t="e">
        <f t="shared" ca="1" si="26"/>
        <v>#NAME?</v>
      </c>
      <c r="V47" s="228" t="e">
        <f t="shared" ca="1" si="26"/>
        <v>#NAME?</v>
      </c>
      <c r="W47" s="228" t="e">
        <f t="shared" ca="1" si="26"/>
        <v>#NAME?</v>
      </c>
      <c r="X47" s="228" t="e">
        <f t="shared" ca="1" si="26"/>
        <v>#NAME?</v>
      </c>
      <c r="Y47" s="228" t="e">
        <f t="shared" ca="1" si="26"/>
        <v>#NAME?</v>
      </c>
      <c r="Z47" s="228" t="e">
        <f t="shared" ca="1" si="26"/>
        <v>#NAME?</v>
      </c>
      <c r="AA47" s="228" t="e">
        <f t="shared" ca="1" si="26"/>
        <v>#NAME?</v>
      </c>
      <c r="AB47" s="228" t="e">
        <f t="shared" ca="1" si="26"/>
        <v>#NAME?</v>
      </c>
      <c r="AC47" s="228" t="e">
        <f t="shared" ca="1" si="26"/>
        <v>#NAME?</v>
      </c>
      <c r="AD47" s="228" t="e">
        <f t="shared" ca="1" si="26"/>
        <v>#NAME?</v>
      </c>
      <c r="AE47" s="228" t="e">
        <f t="shared" ca="1" si="26"/>
        <v>#NAME?</v>
      </c>
      <c r="AF47" s="228" t="e">
        <f t="shared" ca="1" si="26"/>
        <v>#NAME?</v>
      </c>
      <c r="AG47" s="228" t="e">
        <f t="shared" ca="1" si="26"/>
        <v>#NAME?</v>
      </c>
      <c r="AJ47" s="29"/>
      <c r="AK47" s="29"/>
      <c r="AL47" s="29"/>
      <c r="AU47" s="203"/>
      <c r="AV47" s="203"/>
      <c r="AW47" s="203"/>
    </row>
    <row r="48" spans="2:49" x14ac:dyDescent="0.2">
      <c r="B48" s="227">
        <f t="shared" si="22"/>
        <v>300</v>
      </c>
      <c r="C48" s="228" t="e">
        <f t="shared" ca="1" si="23"/>
        <v>#NAME?</v>
      </c>
      <c r="D48" s="228" t="e">
        <f t="shared" ref="D48:AG48" ca="1" si="27">MAX(0.01,Cnapl($AO$7,$AO$8, $AO$9,$AO$10,$AO$11,$AO$12,$AO$13,$AO$14,$AO$15,$AO$16,$AO$17,$AO$18,$AO$19,$AO$20,$AO$21,$AO$22,$AO$23,$AO$24,$AO$25,$AO$26,D$20, $B10, $I$28,0))+IF($AE$26="yes",D88,0)</f>
        <v>#NAME?</v>
      </c>
      <c r="E48" s="228" t="e">
        <f t="shared" ca="1" si="27"/>
        <v>#NAME?</v>
      </c>
      <c r="F48" s="228" t="e">
        <f t="shared" ca="1" si="27"/>
        <v>#NAME?</v>
      </c>
      <c r="G48" s="228" t="e">
        <f t="shared" ca="1" si="27"/>
        <v>#NAME?</v>
      </c>
      <c r="H48" s="228" t="e">
        <f t="shared" ca="1" si="27"/>
        <v>#NAME?</v>
      </c>
      <c r="I48" s="228" t="e">
        <f t="shared" ca="1" si="27"/>
        <v>#NAME?</v>
      </c>
      <c r="J48" s="228" t="e">
        <f t="shared" ca="1" si="27"/>
        <v>#NAME?</v>
      </c>
      <c r="K48" s="228" t="e">
        <f t="shared" ca="1" si="27"/>
        <v>#NAME?</v>
      </c>
      <c r="L48" s="228" t="e">
        <f t="shared" ca="1" si="27"/>
        <v>#NAME?</v>
      </c>
      <c r="M48" s="228" t="e">
        <f t="shared" ca="1" si="27"/>
        <v>#NAME?</v>
      </c>
      <c r="N48" s="228" t="e">
        <f t="shared" ca="1" si="27"/>
        <v>#NAME?</v>
      </c>
      <c r="O48" s="228" t="e">
        <f t="shared" ca="1" si="27"/>
        <v>#NAME?</v>
      </c>
      <c r="P48" s="228" t="e">
        <f t="shared" ca="1" si="27"/>
        <v>#NAME?</v>
      </c>
      <c r="Q48" s="228" t="e">
        <f t="shared" ca="1" si="27"/>
        <v>#NAME?</v>
      </c>
      <c r="R48" s="228" t="e">
        <f t="shared" ca="1" si="27"/>
        <v>#NAME?</v>
      </c>
      <c r="S48" s="228" t="e">
        <f t="shared" ca="1" si="27"/>
        <v>#NAME?</v>
      </c>
      <c r="T48" s="228" t="e">
        <f t="shared" ca="1" si="27"/>
        <v>#NAME?</v>
      </c>
      <c r="U48" s="228" t="e">
        <f t="shared" ca="1" si="27"/>
        <v>#NAME?</v>
      </c>
      <c r="V48" s="228" t="e">
        <f t="shared" ca="1" si="27"/>
        <v>#NAME?</v>
      </c>
      <c r="W48" s="228" t="e">
        <f t="shared" ca="1" si="27"/>
        <v>#NAME?</v>
      </c>
      <c r="X48" s="228" t="e">
        <f t="shared" ca="1" si="27"/>
        <v>#NAME?</v>
      </c>
      <c r="Y48" s="228" t="e">
        <f t="shared" ca="1" si="27"/>
        <v>#NAME?</v>
      </c>
      <c r="Z48" s="228" t="e">
        <f t="shared" ca="1" si="27"/>
        <v>#NAME?</v>
      </c>
      <c r="AA48" s="228" t="e">
        <f t="shared" ca="1" si="27"/>
        <v>#NAME?</v>
      </c>
      <c r="AB48" s="228" t="e">
        <f t="shared" ca="1" si="27"/>
        <v>#NAME?</v>
      </c>
      <c r="AC48" s="228" t="e">
        <f t="shared" ca="1" si="27"/>
        <v>#NAME?</v>
      </c>
      <c r="AD48" s="228" t="e">
        <f t="shared" ca="1" si="27"/>
        <v>#NAME?</v>
      </c>
      <c r="AE48" s="228" t="e">
        <f t="shared" ca="1" si="27"/>
        <v>#NAME?</v>
      </c>
      <c r="AF48" s="228" t="e">
        <f t="shared" ca="1" si="27"/>
        <v>#NAME?</v>
      </c>
      <c r="AG48" s="228" t="e">
        <f t="shared" ca="1" si="27"/>
        <v>#NAME?</v>
      </c>
      <c r="AJ48" s="29"/>
      <c r="AK48" s="29"/>
      <c r="AL48" s="29"/>
      <c r="AU48" s="203"/>
      <c r="AV48" s="203"/>
      <c r="AW48" s="203"/>
    </row>
    <row r="49" spans="2:49" x14ac:dyDescent="0.2">
      <c r="B49" s="227">
        <f t="shared" si="22"/>
        <v>200</v>
      </c>
      <c r="C49" s="228" t="e">
        <f t="shared" ca="1" si="23"/>
        <v>#NAME?</v>
      </c>
      <c r="D49" s="228" t="e">
        <f t="shared" ref="D49:AG49" ca="1" si="28">MAX(0.01,Cnapl($AO$7,$AO$8, $AO$9,$AO$10,$AO$11,$AO$12,$AO$13,$AO$14,$AO$15,$AO$16,$AO$17,$AO$18,$AO$19,$AO$20,$AO$21,$AO$22,$AO$23,$AO$24,$AO$25,$AO$26,D$20, $B11, $I$28,0))+IF($AE$26="yes",D89,0)</f>
        <v>#NAME?</v>
      </c>
      <c r="E49" s="228" t="e">
        <f t="shared" ca="1" si="28"/>
        <v>#NAME?</v>
      </c>
      <c r="F49" s="228" t="e">
        <f t="shared" ca="1" si="28"/>
        <v>#NAME?</v>
      </c>
      <c r="G49" s="228" t="e">
        <f t="shared" ca="1" si="28"/>
        <v>#NAME?</v>
      </c>
      <c r="H49" s="228" t="e">
        <f t="shared" ca="1" si="28"/>
        <v>#NAME?</v>
      </c>
      <c r="I49" s="228" t="e">
        <f t="shared" ca="1" si="28"/>
        <v>#NAME?</v>
      </c>
      <c r="J49" s="228" t="e">
        <f t="shared" ca="1" si="28"/>
        <v>#NAME?</v>
      </c>
      <c r="K49" s="228" t="e">
        <f t="shared" ca="1" si="28"/>
        <v>#NAME?</v>
      </c>
      <c r="L49" s="228" t="e">
        <f t="shared" ca="1" si="28"/>
        <v>#NAME?</v>
      </c>
      <c r="M49" s="228" t="e">
        <f t="shared" ca="1" si="28"/>
        <v>#NAME?</v>
      </c>
      <c r="N49" s="228" t="e">
        <f t="shared" ca="1" si="28"/>
        <v>#NAME?</v>
      </c>
      <c r="O49" s="228" t="e">
        <f t="shared" ca="1" si="28"/>
        <v>#NAME?</v>
      </c>
      <c r="P49" s="228" t="e">
        <f t="shared" ca="1" si="28"/>
        <v>#NAME?</v>
      </c>
      <c r="Q49" s="228" t="e">
        <f t="shared" ca="1" si="28"/>
        <v>#NAME?</v>
      </c>
      <c r="R49" s="228" t="e">
        <f t="shared" ca="1" si="28"/>
        <v>#NAME?</v>
      </c>
      <c r="S49" s="228" t="e">
        <f t="shared" ca="1" si="28"/>
        <v>#NAME?</v>
      </c>
      <c r="T49" s="228" t="e">
        <f t="shared" ca="1" si="28"/>
        <v>#NAME?</v>
      </c>
      <c r="U49" s="228" t="e">
        <f t="shared" ca="1" si="28"/>
        <v>#NAME?</v>
      </c>
      <c r="V49" s="228" t="e">
        <f t="shared" ca="1" si="28"/>
        <v>#NAME?</v>
      </c>
      <c r="W49" s="228" t="e">
        <f t="shared" ca="1" si="28"/>
        <v>#NAME?</v>
      </c>
      <c r="X49" s="228" t="e">
        <f t="shared" ca="1" si="28"/>
        <v>#NAME?</v>
      </c>
      <c r="Y49" s="228" t="e">
        <f t="shared" ca="1" si="28"/>
        <v>#NAME?</v>
      </c>
      <c r="Z49" s="228" t="e">
        <f t="shared" ca="1" si="28"/>
        <v>#NAME?</v>
      </c>
      <c r="AA49" s="228" t="e">
        <f t="shared" ca="1" si="28"/>
        <v>#NAME?</v>
      </c>
      <c r="AB49" s="228" t="e">
        <f t="shared" ca="1" si="28"/>
        <v>#NAME?</v>
      </c>
      <c r="AC49" s="228" t="e">
        <f t="shared" ca="1" si="28"/>
        <v>#NAME?</v>
      </c>
      <c r="AD49" s="228" t="e">
        <f t="shared" ca="1" si="28"/>
        <v>#NAME?</v>
      </c>
      <c r="AE49" s="228" t="e">
        <f t="shared" ca="1" si="28"/>
        <v>#NAME?</v>
      </c>
      <c r="AF49" s="228" t="e">
        <f t="shared" ca="1" si="28"/>
        <v>#NAME?</v>
      </c>
      <c r="AG49" s="228" t="e">
        <f t="shared" ca="1" si="28"/>
        <v>#NAME?</v>
      </c>
      <c r="AJ49" s="29"/>
      <c r="AK49" s="29"/>
      <c r="AL49" s="29"/>
      <c r="AU49" s="203"/>
      <c r="AV49" s="203"/>
      <c r="AW49" s="203"/>
    </row>
    <row r="50" spans="2:49" x14ac:dyDescent="0.2">
      <c r="B50" s="227">
        <f t="shared" si="22"/>
        <v>100</v>
      </c>
      <c r="C50" s="228" t="e">
        <f t="shared" ca="1" si="23"/>
        <v>#NAME?</v>
      </c>
      <c r="D50" s="228" t="e">
        <f t="shared" ref="D50:AG50" ca="1" si="29">MAX(0.01,Cnapl($AO$7,$AO$8, $AO$9,$AO$10,$AO$11,$AO$12,$AO$13,$AO$14,$AO$15,$AO$16,$AO$17,$AO$18,$AO$19,$AO$20,$AO$21,$AO$22,$AO$23,$AO$24,$AO$25,$AO$26,D$20, $B12, $I$28,0))+IF($AE$26="yes",D90,0)</f>
        <v>#NAME?</v>
      </c>
      <c r="E50" s="228" t="e">
        <f t="shared" ca="1" si="29"/>
        <v>#NAME?</v>
      </c>
      <c r="F50" s="228" t="e">
        <f t="shared" ca="1" si="29"/>
        <v>#NAME?</v>
      </c>
      <c r="G50" s="228" t="e">
        <f t="shared" ca="1" si="29"/>
        <v>#NAME?</v>
      </c>
      <c r="H50" s="228" t="e">
        <f t="shared" ca="1" si="29"/>
        <v>#NAME?</v>
      </c>
      <c r="I50" s="228" t="e">
        <f t="shared" ca="1" si="29"/>
        <v>#NAME?</v>
      </c>
      <c r="J50" s="228" t="e">
        <f t="shared" ca="1" si="29"/>
        <v>#NAME?</v>
      </c>
      <c r="K50" s="228" t="e">
        <f t="shared" ca="1" si="29"/>
        <v>#NAME?</v>
      </c>
      <c r="L50" s="228" t="e">
        <f t="shared" ca="1" si="29"/>
        <v>#NAME?</v>
      </c>
      <c r="M50" s="228" t="e">
        <f t="shared" ca="1" si="29"/>
        <v>#NAME?</v>
      </c>
      <c r="N50" s="228" t="e">
        <f t="shared" ca="1" si="29"/>
        <v>#NAME?</v>
      </c>
      <c r="O50" s="228" t="e">
        <f t="shared" ca="1" si="29"/>
        <v>#NAME?</v>
      </c>
      <c r="P50" s="228" t="e">
        <f t="shared" ca="1" si="29"/>
        <v>#NAME?</v>
      </c>
      <c r="Q50" s="228" t="e">
        <f t="shared" ca="1" si="29"/>
        <v>#NAME?</v>
      </c>
      <c r="R50" s="228" t="e">
        <f t="shared" ca="1" si="29"/>
        <v>#NAME?</v>
      </c>
      <c r="S50" s="228" t="e">
        <f t="shared" ca="1" si="29"/>
        <v>#NAME?</v>
      </c>
      <c r="T50" s="228" t="e">
        <f t="shared" ca="1" si="29"/>
        <v>#NAME?</v>
      </c>
      <c r="U50" s="228" t="e">
        <f t="shared" ca="1" si="29"/>
        <v>#NAME?</v>
      </c>
      <c r="V50" s="228" t="e">
        <f t="shared" ca="1" si="29"/>
        <v>#NAME?</v>
      </c>
      <c r="W50" s="228" t="e">
        <f t="shared" ca="1" si="29"/>
        <v>#NAME?</v>
      </c>
      <c r="X50" s="228" t="e">
        <f t="shared" ca="1" si="29"/>
        <v>#NAME?</v>
      </c>
      <c r="Y50" s="228" t="e">
        <f t="shared" ca="1" si="29"/>
        <v>#NAME?</v>
      </c>
      <c r="Z50" s="228" t="e">
        <f t="shared" ca="1" si="29"/>
        <v>#NAME?</v>
      </c>
      <c r="AA50" s="228" t="e">
        <f t="shared" ca="1" si="29"/>
        <v>#NAME?</v>
      </c>
      <c r="AB50" s="228" t="e">
        <f t="shared" ca="1" si="29"/>
        <v>#NAME?</v>
      </c>
      <c r="AC50" s="228" t="e">
        <f t="shared" ca="1" si="29"/>
        <v>#NAME?</v>
      </c>
      <c r="AD50" s="228" t="e">
        <f t="shared" ca="1" si="29"/>
        <v>#NAME?</v>
      </c>
      <c r="AE50" s="228" t="e">
        <f t="shared" ca="1" si="29"/>
        <v>#NAME?</v>
      </c>
      <c r="AF50" s="228" t="e">
        <f t="shared" ca="1" si="29"/>
        <v>#NAME?</v>
      </c>
      <c r="AG50" s="228" t="e">
        <f t="shared" ca="1" si="29"/>
        <v>#NAME?</v>
      </c>
      <c r="AJ50" s="29"/>
      <c r="AK50" s="29"/>
      <c r="AL50" s="29"/>
      <c r="AU50" s="203"/>
      <c r="AV50" s="203"/>
      <c r="AW50" s="203"/>
    </row>
    <row r="51" spans="2:49" x14ac:dyDescent="0.2">
      <c r="B51" s="227">
        <f t="shared" si="22"/>
        <v>0</v>
      </c>
      <c r="C51" s="228" t="e">
        <f t="shared" ca="1" si="23"/>
        <v>#NAME?</v>
      </c>
      <c r="D51" s="228" t="e">
        <f t="shared" ref="D51:AG51" ca="1" si="30">MAX(0.01,Cnapl($AO$7,$AO$8, $AO$9,$AO$10,$AO$11,$AO$12,$AO$13,$AO$14,$AO$15,$AO$16,$AO$17,$AO$18,$AO$19,$AO$20,$AO$21,$AO$22,$AO$23,$AO$24,$AO$25,$AO$26,D$20, $B13, $I$28,0))+IF($AE$26="yes",D91,0)</f>
        <v>#NAME?</v>
      </c>
      <c r="E51" s="228" t="e">
        <f t="shared" ca="1" si="30"/>
        <v>#NAME?</v>
      </c>
      <c r="F51" s="228" t="e">
        <f t="shared" ca="1" si="30"/>
        <v>#NAME?</v>
      </c>
      <c r="G51" s="228" t="e">
        <f t="shared" ca="1" si="30"/>
        <v>#NAME?</v>
      </c>
      <c r="H51" s="228" t="e">
        <f t="shared" ca="1" si="30"/>
        <v>#NAME?</v>
      </c>
      <c r="I51" s="228" t="e">
        <f t="shared" ca="1" si="30"/>
        <v>#NAME?</v>
      </c>
      <c r="J51" s="228" t="e">
        <f t="shared" ca="1" si="30"/>
        <v>#NAME?</v>
      </c>
      <c r="K51" s="228" t="e">
        <f t="shared" ca="1" si="30"/>
        <v>#NAME?</v>
      </c>
      <c r="L51" s="228" t="e">
        <f t="shared" ca="1" si="30"/>
        <v>#NAME?</v>
      </c>
      <c r="M51" s="228" t="e">
        <f t="shared" ca="1" si="30"/>
        <v>#NAME?</v>
      </c>
      <c r="N51" s="228" t="e">
        <f t="shared" ca="1" si="30"/>
        <v>#NAME?</v>
      </c>
      <c r="O51" s="228" t="e">
        <f t="shared" ca="1" si="30"/>
        <v>#NAME?</v>
      </c>
      <c r="P51" s="228" t="e">
        <f t="shared" ca="1" si="30"/>
        <v>#NAME?</v>
      </c>
      <c r="Q51" s="228" t="e">
        <f t="shared" ca="1" si="30"/>
        <v>#NAME?</v>
      </c>
      <c r="R51" s="228" t="e">
        <f t="shared" ca="1" si="30"/>
        <v>#NAME?</v>
      </c>
      <c r="S51" s="228" t="e">
        <f t="shared" ca="1" si="30"/>
        <v>#NAME?</v>
      </c>
      <c r="T51" s="228" t="e">
        <f t="shared" ca="1" si="30"/>
        <v>#NAME?</v>
      </c>
      <c r="U51" s="228" t="e">
        <f t="shared" ca="1" si="30"/>
        <v>#NAME?</v>
      </c>
      <c r="V51" s="228" t="e">
        <f t="shared" ca="1" si="30"/>
        <v>#NAME?</v>
      </c>
      <c r="W51" s="228" t="e">
        <f t="shared" ca="1" si="30"/>
        <v>#NAME?</v>
      </c>
      <c r="X51" s="228" t="e">
        <f t="shared" ca="1" si="30"/>
        <v>#NAME?</v>
      </c>
      <c r="Y51" s="228" t="e">
        <f t="shared" ca="1" si="30"/>
        <v>#NAME?</v>
      </c>
      <c r="Z51" s="228" t="e">
        <f t="shared" ca="1" si="30"/>
        <v>#NAME?</v>
      </c>
      <c r="AA51" s="228" t="e">
        <f t="shared" ca="1" si="30"/>
        <v>#NAME?</v>
      </c>
      <c r="AB51" s="228" t="e">
        <f t="shared" ca="1" si="30"/>
        <v>#NAME?</v>
      </c>
      <c r="AC51" s="228" t="e">
        <f t="shared" ca="1" si="30"/>
        <v>#NAME?</v>
      </c>
      <c r="AD51" s="228" t="e">
        <f t="shared" ca="1" si="30"/>
        <v>#NAME?</v>
      </c>
      <c r="AE51" s="228" t="e">
        <f t="shared" ca="1" si="30"/>
        <v>#NAME?</v>
      </c>
      <c r="AF51" s="228" t="e">
        <f t="shared" ca="1" si="30"/>
        <v>#NAME?</v>
      </c>
      <c r="AG51" s="228" t="e">
        <f t="shared" ca="1" si="30"/>
        <v>#NAME?</v>
      </c>
      <c r="AJ51" s="29"/>
      <c r="AK51" s="29"/>
      <c r="AL51" s="29"/>
      <c r="AU51" s="203"/>
      <c r="AV51" s="203"/>
      <c r="AW51" s="203"/>
    </row>
    <row r="52" spans="2:49" x14ac:dyDescent="0.2">
      <c r="B52" s="227">
        <f t="shared" si="22"/>
        <v>-100</v>
      </c>
      <c r="C52" s="228" t="e">
        <f ca="1">C50</f>
        <v>#NAME?</v>
      </c>
      <c r="D52" s="228" t="e">
        <f t="shared" ref="D52:AG52" ca="1" si="31">D50</f>
        <v>#NAME?</v>
      </c>
      <c r="E52" s="228" t="e">
        <f t="shared" ca="1" si="31"/>
        <v>#NAME?</v>
      </c>
      <c r="F52" s="228" t="e">
        <f t="shared" ca="1" si="31"/>
        <v>#NAME?</v>
      </c>
      <c r="G52" s="228" t="e">
        <f t="shared" ca="1" si="31"/>
        <v>#NAME?</v>
      </c>
      <c r="H52" s="228" t="e">
        <f t="shared" ca="1" si="31"/>
        <v>#NAME?</v>
      </c>
      <c r="I52" s="228" t="e">
        <f t="shared" ca="1" si="31"/>
        <v>#NAME?</v>
      </c>
      <c r="J52" s="228" t="e">
        <f t="shared" ca="1" si="31"/>
        <v>#NAME?</v>
      </c>
      <c r="K52" s="228" t="e">
        <f t="shared" ca="1" si="31"/>
        <v>#NAME?</v>
      </c>
      <c r="L52" s="228" t="e">
        <f t="shared" ca="1" si="31"/>
        <v>#NAME?</v>
      </c>
      <c r="M52" s="228" t="e">
        <f t="shared" ca="1" si="31"/>
        <v>#NAME?</v>
      </c>
      <c r="N52" s="228" t="e">
        <f t="shared" ca="1" si="31"/>
        <v>#NAME?</v>
      </c>
      <c r="O52" s="228" t="e">
        <f t="shared" ca="1" si="31"/>
        <v>#NAME?</v>
      </c>
      <c r="P52" s="228" t="e">
        <f t="shared" ca="1" si="31"/>
        <v>#NAME?</v>
      </c>
      <c r="Q52" s="228" t="e">
        <f t="shared" ca="1" si="31"/>
        <v>#NAME?</v>
      </c>
      <c r="R52" s="228" t="e">
        <f t="shared" ca="1" si="31"/>
        <v>#NAME?</v>
      </c>
      <c r="S52" s="228" t="e">
        <f t="shared" ca="1" si="31"/>
        <v>#NAME?</v>
      </c>
      <c r="T52" s="228" t="e">
        <f t="shared" ca="1" si="31"/>
        <v>#NAME?</v>
      </c>
      <c r="U52" s="228" t="e">
        <f t="shared" ca="1" si="31"/>
        <v>#NAME?</v>
      </c>
      <c r="V52" s="228" t="e">
        <f t="shared" ca="1" si="31"/>
        <v>#NAME?</v>
      </c>
      <c r="W52" s="228" t="e">
        <f t="shared" ca="1" si="31"/>
        <v>#NAME?</v>
      </c>
      <c r="X52" s="228" t="e">
        <f t="shared" ca="1" si="31"/>
        <v>#NAME?</v>
      </c>
      <c r="Y52" s="228" t="e">
        <f t="shared" ca="1" si="31"/>
        <v>#NAME?</v>
      </c>
      <c r="Z52" s="228" t="e">
        <f t="shared" ca="1" si="31"/>
        <v>#NAME?</v>
      </c>
      <c r="AA52" s="228" t="e">
        <f t="shared" ca="1" si="31"/>
        <v>#NAME?</v>
      </c>
      <c r="AB52" s="228" t="e">
        <f t="shared" ca="1" si="31"/>
        <v>#NAME?</v>
      </c>
      <c r="AC52" s="228" t="e">
        <f t="shared" ca="1" si="31"/>
        <v>#NAME?</v>
      </c>
      <c r="AD52" s="228" t="e">
        <f t="shared" ca="1" si="31"/>
        <v>#NAME?</v>
      </c>
      <c r="AE52" s="228" t="e">
        <f t="shared" ca="1" si="31"/>
        <v>#NAME?</v>
      </c>
      <c r="AF52" s="228" t="e">
        <f t="shared" ca="1" si="31"/>
        <v>#NAME?</v>
      </c>
      <c r="AG52" s="228" t="e">
        <f t="shared" ca="1" si="31"/>
        <v>#NAME?</v>
      </c>
      <c r="AJ52" s="29"/>
      <c r="AK52" s="29"/>
      <c r="AL52" s="29"/>
      <c r="AU52" s="203"/>
      <c r="AV52" s="203"/>
      <c r="AW52" s="203"/>
    </row>
    <row r="53" spans="2:49" x14ac:dyDescent="0.2">
      <c r="B53" s="227">
        <f t="shared" si="22"/>
        <v>-200</v>
      </c>
      <c r="C53" s="228" t="e">
        <f ca="1">C49</f>
        <v>#NAME?</v>
      </c>
      <c r="D53" s="228" t="e">
        <f t="shared" ref="D53:AG53" ca="1" si="32">D49</f>
        <v>#NAME?</v>
      </c>
      <c r="E53" s="228" t="e">
        <f t="shared" ca="1" si="32"/>
        <v>#NAME?</v>
      </c>
      <c r="F53" s="228" t="e">
        <f t="shared" ca="1" si="32"/>
        <v>#NAME?</v>
      </c>
      <c r="G53" s="228" t="e">
        <f t="shared" ca="1" si="32"/>
        <v>#NAME?</v>
      </c>
      <c r="H53" s="228" t="e">
        <f t="shared" ca="1" si="32"/>
        <v>#NAME?</v>
      </c>
      <c r="I53" s="228" t="e">
        <f t="shared" ca="1" si="32"/>
        <v>#NAME?</v>
      </c>
      <c r="J53" s="228" t="e">
        <f t="shared" ca="1" si="32"/>
        <v>#NAME?</v>
      </c>
      <c r="K53" s="228" t="e">
        <f t="shared" ca="1" si="32"/>
        <v>#NAME?</v>
      </c>
      <c r="L53" s="228" t="e">
        <f t="shared" ca="1" si="32"/>
        <v>#NAME?</v>
      </c>
      <c r="M53" s="228" t="e">
        <f t="shared" ca="1" si="32"/>
        <v>#NAME?</v>
      </c>
      <c r="N53" s="228" t="e">
        <f t="shared" ca="1" si="32"/>
        <v>#NAME?</v>
      </c>
      <c r="O53" s="228" t="e">
        <f t="shared" ca="1" si="32"/>
        <v>#NAME?</v>
      </c>
      <c r="P53" s="228" t="e">
        <f t="shared" ca="1" si="32"/>
        <v>#NAME?</v>
      </c>
      <c r="Q53" s="228" t="e">
        <f t="shared" ca="1" si="32"/>
        <v>#NAME?</v>
      </c>
      <c r="R53" s="228" t="e">
        <f t="shared" ca="1" si="32"/>
        <v>#NAME?</v>
      </c>
      <c r="S53" s="228" t="e">
        <f t="shared" ca="1" si="32"/>
        <v>#NAME?</v>
      </c>
      <c r="T53" s="228" t="e">
        <f t="shared" ca="1" si="32"/>
        <v>#NAME?</v>
      </c>
      <c r="U53" s="228" t="e">
        <f t="shared" ca="1" si="32"/>
        <v>#NAME?</v>
      </c>
      <c r="V53" s="228" t="e">
        <f t="shared" ca="1" si="32"/>
        <v>#NAME?</v>
      </c>
      <c r="W53" s="228" t="e">
        <f t="shared" ca="1" si="32"/>
        <v>#NAME?</v>
      </c>
      <c r="X53" s="228" t="e">
        <f t="shared" ca="1" si="32"/>
        <v>#NAME?</v>
      </c>
      <c r="Y53" s="228" t="e">
        <f t="shared" ca="1" si="32"/>
        <v>#NAME?</v>
      </c>
      <c r="Z53" s="228" t="e">
        <f t="shared" ca="1" si="32"/>
        <v>#NAME?</v>
      </c>
      <c r="AA53" s="228" t="e">
        <f t="shared" ca="1" si="32"/>
        <v>#NAME?</v>
      </c>
      <c r="AB53" s="228" t="e">
        <f t="shared" ca="1" si="32"/>
        <v>#NAME?</v>
      </c>
      <c r="AC53" s="228" t="e">
        <f t="shared" ca="1" si="32"/>
        <v>#NAME?</v>
      </c>
      <c r="AD53" s="228" t="e">
        <f t="shared" ca="1" si="32"/>
        <v>#NAME?</v>
      </c>
      <c r="AE53" s="228" t="e">
        <f t="shared" ca="1" si="32"/>
        <v>#NAME?</v>
      </c>
      <c r="AF53" s="228" t="e">
        <f t="shared" ca="1" si="32"/>
        <v>#NAME?</v>
      </c>
      <c r="AG53" s="228" t="e">
        <f t="shared" ca="1" si="32"/>
        <v>#NAME?</v>
      </c>
      <c r="AJ53" s="29"/>
      <c r="AK53" s="29"/>
      <c r="AL53" s="29"/>
      <c r="AU53" s="203"/>
      <c r="AV53" s="203"/>
      <c r="AW53" s="203"/>
    </row>
    <row r="54" spans="2:49" x14ac:dyDescent="0.2">
      <c r="B54" s="227">
        <f t="shared" si="22"/>
        <v>-300</v>
      </c>
      <c r="C54" s="228" t="e">
        <f t="shared" ref="C54:AG54" ca="1" si="33">C48</f>
        <v>#NAME?</v>
      </c>
      <c r="D54" s="228" t="e">
        <f t="shared" ca="1" si="33"/>
        <v>#NAME?</v>
      </c>
      <c r="E54" s="228" t="e">
        <f t="shared" ca="1" si="33"/>
        <v>#NAME?</v>
      </c>
      <c r="F54" s="228" t="e">
        <f t="shared" ca="1" si="33"/>
        <v>#NAME?</v>
      </c>
      <c r="G54" s="228" t="e">
        <f t="shared" ca="1" si="33"/>
        <v>#NAME?</v>
      </c>
      <c r="H54" s="228" t="e">
        <f t="shared" ca="1" si="33"/>
        <v>#NAME?</v>
      </c>
      <c r="I54" s="228" t="e">
        <f t="shared" ca="1" si="33"/>
        <v>#NAME?</v>
      </c>
      <c r="J54" s="228" t="e">
        <f t="shared" ca="1" si="33"/>
        <v>#NAME?</v>
      </c>
      <c r="K54" s="228" t="e">
        <f t="shared" ca="1" si="33"/>
        <v>#NAME?</v>
      </c>
      <c r="L54" s="228" t="e">
        <f t="shared" ca="1" si="33"/>
        <v>#NAME?</v>
      </c>
      <c r="M54" s="228" t="e">
        <f t="shared" ca="1" si="33"/>
        <v>#NAME?</v>
      </c>
      <c r="N54" s="228" t="e">
        <f t="shared" ca="1" si="33"/>
        <v>#NAME?</v>
      </c>
      <c r="O54" s="228" t="e">
        <f t="shared" ca="1" si="33"/>
        <v>#NAME?</v>
      </c>
      <c r="P54" s="228" t="e">
        <f t="shared" ca="1" si="33"/>
        <v>#NAME?</v>
      </c>
      <c r="Q54" s="228" t="e">
        <f t="shared" ca="1" si="33"/>
        <v>#NAME?</v>
      </c>
      <c r="R54" s="228" t="e">
        <f t="shared" ca="1" si="33"/>
        <v>#NAME?</v>
      </c>
      <c r="S54" s="228" t="e">
        <f t="shared" ca="1" si="33"/>
        <v>#NAME?</v>
      </c>
      <c r="T54" s="228" t="e">
        <f t="shared" ca="1" si="33"/>
        <v>#NAME?</v>
      </c>
      <c r="U54" s="228" t="e">
        <f t="shared" ca="1" si="33"/>
        <v>#NAME?</v>
      </c>
      <c r="V54" s="228" t="e">
        <f t="shared" ca="1" si="33"/>
        <v>#NAME?</v>
      </c>
      <c r="W54" s="228" t="e">
        <f t="shared" ca="1" si="33"/>
        <v>#NAME?</v>
      </c>
      <c r="X54" s="228" t="e">
        <f t="shared" ca="1" si="33"/>
        <v>#NAME?</v>
      </c>
      <c r="Y54" s="228" t="e">
        <f t="shared" ca="1" si="33"/>
        <v>#NAME?</v>
      </c>
      <c r="Z54" s="228" t="e">
        <f t="shared" ca="1" si="33"/>
        <v>#NAME?</v>
      </c>
      <c r="AA54" s="228" t="e">
        <f t="shared" ca="1" si="33"/>
        <v>#NAME?</v>
      </c>
      <c r="AB54" s="228" t="e">
        <f t="shared" ca="1" si="33"/>
        <v>#NAME?</v>
      </c>
      <c r="AC54" s="228" t="e">
        <f t="shared" ca="1" si="33"/>
        <v>#NAME?</v>
      </c>
      <c r="AD54" s="228" t="e">
        <f t="shared" ca="1" si="33"/>
        <v>#NAME?</v>
      </c>
      <c r="AE54" s="228" t="e">
        <f t="shared" ca="1" si="33"/>
        <v>#NAME?</v>
      </c>
      <c r="AF54" s="228" t="e">
        <f t="shared" ca="1" si="33"/>
        <v>#NAME?</v>
      </c>
      <c r="AG54" s="228" t="e">
        <f t="shared" ca="1" si="33"/>
        <v>#NAME?</v>
      </c>
      <c r="AJ54" s="29"/>
      <c r="AK54" s="29"/>
      <c r="AL54" s="29"/>
      <c r="AU54" s="203"/>
      <c r="AV54" s="203"/>
      <c r="AW54" s="203"/>
    </row>
    <row r="55" spans="2:49" x14ac:dyDescent="0.2">
      <c r="B55" s="227">
        <f t="shared" si="22"/>
        <v>-400</v>
      </c>
      <c r="C55" s="228" t="e">
        <f t="shared" ref="C55:AG55" ca="1" si="34">C47</f>
        <v>#NAME?</v>
      </c>
      <c r="D55" s="228" t="e">
        <f t="shared" ca="1" si="34"/>
        <v>#NAME?</v>
      </c>
      <c r="E55" s="228" t="e">
        <f t="shared" ca="1" si="34"/>
        <v>#NAME?</v>
      </c>
      <c r="F55" s="228" t="e">
        <f t="shared" ca="1" si="34"/>
        <v>#NAME?</v>
      </c>
      <c r="G55" s="228" t="e">
        <f t="shared" ca="1" si="34"/>
        <v>#NAME?</v>
      </c>
      <c r="H55" s="228" t="e">
        <f t="shared" ca="1" si="34"/>
        <v>#NAME?</v>
      </c>
      <c r="I55" s="228" t="e">
        <f t="shared" ca="1" si="34"/>
        <v>#NAME?</v>
      </c>
      <c r="J55" s="228" t="e">
        <f t="shared" ca="1" si="34"/>
        <v>#NAME?</v>
      </c>
      <c r="K55" s="228" t="e">
        <f t="shared" ca="1" si="34"/>
        <v>#NAME?</v>
      </c>
      <c r="L55" s="228" t="e">
        <f t="shared" ca="1" si="34"/>
        <v>#NAME?</v>
      </c>
      <c r="M55" s="228" t="e">
        <f t="shared" ca="1" si="34"/>
        <v>#NAME?</v>
      </c>
      <c r="N55" s="228" t="e">
        <f t="shared" ca="1" si="34"/>
        <v>#NAME?</v>
      </c>
      <c r="O55" s="228" t="e">
        <f t="shared" ca="1" si="34"/>
        <v>#NAME?</v>
      </c>
      <c r="P55" s="228" t="e">
        <f t="shared" ca="1" si="34"/>
        <v>#NAME?</v>
      </c>
      <c r="Q55" s="228" t="e">
        <f t="shared" ca="1" si="34"/>
        <v>#NAME?</v>
      </c>
      <c r="R55" s="228" t="e">
        <f t="shared" ca="1" si="34"/>
        <v>#NAME?</v>
      </c>
      <c r="S55" s="228" t="e">
        <f t="shared" ca="1" si="34"/>
        <v>#NAME?</v>
      </c>
      <c r="T55" s="228" t="e">
        <f t="shared" ca="1" si="34"/>
        <v>#NAME?</v>
      </c>
      <c r="U55" s="228" t="e">
        <f t="shared" ca="1" si="34"/>
        <v>#NAME?</v>
      </c>
      <c r="V55" s="228" t="e">
        <f t="shared" ca="1" si="34"/>
        <v>#NAME?</v>
      </c>
      <c r="W55" s="228" t="e">
        <f t="shared" ca="1" si="34"/>
        <v>#NAME?</v>
      </c>
      <c r="X55" s="228" t="e">
        <f t="shared" ca="1" si="34"/>
        <v>#NAME?</v>
      </c>
      <c r="Y55" s="228" t="e">
        <f t="shared" ca="1" si="34"/>
        <v>#NAME?</v>
      </c>
      <c r="Z55" s="228" t="e">
        <f t="shared" ca="1" si="34"/>
        <v>#NAME?</v>
      </c>
      <c r="AA55" s="228" t="e">
        <f t="shared" ca="1" si="34"/>
        <v>#NAME?</v>
      </c>
      <c r="AB55" s="228" t="e">
        <f t="shared" ca="1" si="34"/>
        <v>#NAME?</v>
      </c>
      <c r="AC55" s="228" t="e">
        <f t="shared" ca="1" si="34"/>
        <v>#NAME?</v>
      </c>
      <c r="AD55" s="228" t="e">
        <f t="shared" ca="1" si="34"/>
        <v>#NAME?</v>
      </c>
      <c r="AE55" s="228" t="e">
        <f t="shared" ca="1" si="34"/>
        <v>#NAME?</v>
      </c>
      <c r="AF55" s="228" t="e">
        <f t="shared" ca="1" si="34"/>
        <v>#NAME?</v>
      </c>
      <c r="AG55" s="228" t="e">
        <f t="shared" ca="1" si="34"/>
        <v>#NAME?</v>
      </c>
      <c r="AJ55" s="29"/>
      <c r="AK55" s="29"/>
      <c r="AL55" s="29"/>
      <c r="AU55" s="203"/>
      <c r="AV55" s="203"/>
      <c r="AW55" s="203"/>
    </row>
    <row r="56" spans="2:49" x14ac:dyDescent="0.2">
      <c r="B56" s="227">
        <f t="shared" si="22"/>
        <v>-500</v>
      </c>
      <c r="C56" s="228" t="e">
        <f t="shared" ref="C56:AG56" ca="1" si="35">C46</f>
        <v>#NAME?</v>
      </c>
      <c r="D56" s="228" t="e">
        <f t="shared" ca="1" si="35"/>
        <v>#NAME?</v>
      </c>
      <c r="E56" s="228" t="e">
        <f t="shared" ca="1" si="35"/>
        <v>#NAME?</v>
      </c>
      <c r="F56" s="228" t="e">
        <f t="shared" ca="1" si="35"/>
        <v>#NAME?</v>
      </c>
      <c r="G56" s="228" t="e">
        <f t="shared" ca="1" si="35"/>
        <v>#NAME?</v>
      </c>
      <c r="H56" s="228" t="e">
        <f t="shared" ca="1" si="35"/>
        <v>#NAME?</v>
      </c>
      <c r="I56" s="228" t="e">
        <f t="shared" ca="1" si="35"/>
        <v>#NAME?</v>
      </c>
      <c r="J56" s="228" t="e">
        <f t="shared" ca="1" si="35"/>
        <v>#NAME?</v>
      </c>
      <c r="K56" s="228" t="e">
        <f t="shared" ca="1" si="35"/>
        <v>#NAME?</v>
      </c>
      <c r="L56" s="228" t="e">
        <f t="shared" ca="1" si="35"/>
        <v>#NAME?</v>
      </c>
      <c r="M56" s="228" t="e">
        <f t="shared" ca="1" si="35"/>
        <v>#NAME?</v>
      </c>
      <c r="N56" s="228" t="e">
        <f t="shared" ca="1" si="35"/>
        <v>#NAME?</v>
      </c>
      <c r="O56" s="228" t="e">
        <f t="shared" ca="1" si="35"/>
        <v>#NAME?</v>
      </c>
      <c r="P56" s="228" t="e">
        <f t="shared" ca="1" si="35"/>
        <v>#NAME?</v>
      </c>
      <c r="Q56" s="228" t="e">
        <f t="shared" ca="1" si="35"/>
        <v>#NAME?</v>
      </c>
      <c r="R56" s="228" t="e">
        <f t="shared" ca="1" si="35"/>
        <v>#NAME?</v>
      </c>
      <c r="S56" s="228" t="e">
        <f t="shared" ca="1" si="35"/>
        <v>#NAME?</v>
      </c>
      <c r="T56" s="228" t="e">
        <f t="shared" ca="1" si="35"/>
        <v>#NAME?</v>
      </c>
      <c r="U56" s="228" t="e">
        <f t="shared" ca="1" si="35"/>
        <v>#NAME?</v>
      </c>
      <c r="V56" s="228" t="e">
        <f t="shared" ca="1" si="35"/>
        <v>#NAME?</v>
      </c>
      <c r="W56" s="228" t="e">
        <f t="shared" ca="1" si="35"/>
        <v>#NAME?</v>
      </c>
      <c r="X56" s="228" t="e">
        <f t="shared" ca="1" si="35"/>
        <v>#NAME?</v>
      </c>
      <c r="Y56" s="228" t="e">
        <f t="shared" ca="1" si="35"/>
        <v>#NAME?</v>
      </c>
      <c r="Z56" s="228" t="e">
        <f t="shared" ca="1" si="35"/>
        <v>#NAME?</v>
      </c>
      <c r="AA56" s="228" t="e">
        <f t="shared" ca="1" si="35"/>
        <v>#NAME?</v>
      </c>
      <c r="AB56" s="228" t="e">
        <f t="shared" ca="1" si="35"/>
        <v>#NAME?</v>
      </c>
      <c r="AC56" s="228" t="e">
        <f t="shared" ca="1" si="35"/>
        <v>#NAME?</v>
      </c>
      <c r="AD56" s="228" t="e">
        <f t="shared" ca="1" si="35"/>
        <v>#NAME?</v>
      </c>
      <c r="AE56" s="228" t="e">
        <f t="shared" ca="1" si="35"/>
        <v>#NAME?</v>
      </c>
      <c r="AF56" s="228" t="e">
        <f t="shared" ca="1" si="35"/>
        <v>#NAME?</v>
      </c>
      <c r="AG56" s="228" t="e">
        <f t="shared" ca="1" si="35"/>
        <v>#NAME?</v>
      </c>
      <c r="AJ56" s="29"/>
      <c r="AK56" s="29"/>
      <c r="AL56" s="29"/>
      <c r="AU56" s="203"/>
      <c r="AV56" s="203"/>
      <c r="AW56" s="203"/>
    </row>
    <row r="57" spans="2:49" x14ac:dyDescent="0.2">
      <c r="B57" s="227">
        <f t="shared" si="22"/>
        <v>-600</v>
      </c>
      <c r="C57" s="228" t="e">
        <f t="shared" ref="C57:AG57" ca="1" si="36">C45</f>
        <v>#NAME?</v>
      </c>
      <c r="D57" s="228" t="e">
        <f t="shared" ca="1" si="36"/>
        <v>#NAME?</v>
      </c>
      <c r="E57" s="228" t="e">
        <f t="shared" ca="1" si="36"/>
        <v>#NAME?</v>
      </c>
      <c r="F57" s="228" t="e">
        <f t="shared" ca="1" si="36"/>
        <v>#NAME?</v>
      </c>
      <c r="G57" s="228" t="e">
        <f t="shared" ca="1" si="36"/>
        <v>#NAME?</v>
      </c>
      <c r="H57" s="228" t="e">
        <f t="shared" ca="1" si="36"/>
        <v>#NAME?</v>
      </c>
      <c r="I57" s="228" t="e">
        <f t="shared" ca="1" si="36"/>
        <v>#NAME?</v>
      </c>
      <c r="J57" s="228" t="e">
        <f t="shared" ca="1" si="36"/>
        <v>#NAME?</v>
      </c>
      <c r="K57" s="228" t="e">
        <f t="shared" ca="1" si="36"/>
        <v>#NAME?</v>
      </c>
      <c r="L57" s="228" t="e">
        <f t="shared" ca="1" si="36"/>
        <v>#NAME?</v>
      </c>
      <c r="M57" s="228" t="e">
        <f t="shared" ca="1" si="36"/>
        <v>#NAME?</v>
      </c>
      <c r="N57" s="228" t="e">
        <f t="shared" ca="1" si="36"/>
        <v>#NAME?</v>
      </c>
      <c r="O57" s="228" t="e">
        <f t="shared" ca="1" si="36"/>
        <v>#NAME?</v>
      </c>
      <c r="P57" s="228" t="e">
        <f t="shared" ca="1" si="36"/>
        <v>#NAME?</v>
      </c>
      <c r="Q57" s="228" t="e">
        <f t="shared" ca="1" si="36"/>
        <v>#NAME?</v>
      </c>
      <c r="R57" s="228" t="e">
        <f t="shared" ca="1" si="36"/>
        <v>#NAME?</v>
      </c>
      <c r="S57" s="228" t="e">
        <f t="shared" ca="1" si="36"/>
        <v>#NAME?</v>
      </c>
      <c r="T57" s="228" t="e">
        <f t="shared" ca="1" si="36"/>
        <v>#NAME?</v>
      </c>
      <c r="U57" s="228" t="e">
        <f t="shared" ca="1" si="36"/>
        <v>#NAME?</v>
      </c>
      <c r="V57" s="228" t="e">
        <f t="shared" ca="1" si="36"/>
        <v>#NAME?</v>
      </c>
      <c r="W57" s="228" t="e">
        <f t="shared" ca="1" si="36"/>
        <v>#NAME?</v>
      </c>
      <c r="X57" s="228" t="e">
        <f t="shared" ca="1" si="36"/>
        <v>#NAME?</v>
      </c>
      <c r="Y57" s="228" t="e">
        <f t="shared" ca="1" si="36"/>
        <v>#NAME?</v>
      </c>
      <c r="Z57" s="228" t="e">
        <f t="shared" ca="1" si="36"/>
        <v>#NAME?</v>
      </c>
      <c r="AA57" s="228" t="e">
        <f t="shared" ca="1" si="36"/>
        <v>#NAME?</v>
      </c>
      <c r="AB57" s="228" t="e">
        <f t="shared" ca="1" si="36"/>
        <v>#NAME?</v>
      </c>
      <c r="AC57" s="228" t="e">
        <f t="shared" ca="1" si="36"/>
        <v>#NAME?</v>
      </c>
      <c r="AD57" s="228" t="e">
        <f t="shared" ca="1" si="36"/>
        <v>#NAME?</v>
      </c>
      <c r="AE57" s="228" t="e">
        <f t="shared" ca="1" si="36"/>
        <v>#NAME?</v>
      </c>
      <c r="AF57" s="228" t="e">
        <f t="shared" ca="1" si="36"/>
        <v>#NAME?</v>
      </c>
      <c r="AG57" s="228" t="e">
        <f t="shared" ca="1" si="36"/>
        <v>#NAME?</v>
      </c>
      <c r="AJ57" s="29"/>
      <c r="AK57" s="29"/>
      <c r="AL57" s="29"/>
      <c r="AU57" s="203"/>
      <c r="AV57" s="203"/>
      <c r="AW57" s="203"/>
    </row>
    <row r="58" spans="2:49" x14ac:dyDescent="0.2">
      <c r="C58" s="227">
        <f>C20</f>
        <v>50</v>
      </c>
      <c r="D58" s="227">
        <f t="shared" ref="D58:AG58" si="37">D20</f>
        <v>150</v>
      </c>
      <c r="E58" s="227">
        <f t="shared" si="37"/>
        <v>250</v>
      </c>
      <c r="F58" s="227">
        <f t="shared" si="37"/>
        <v>350</v>
      </c>
      <c r="G58" s="227">
        <f t="shared" si="37"/>
        <v>450</v>
      </c>
      <c r="H58" s="227">
        <f t="shared" si="37"/>
        <v>550</v>
      </c>
      <c r="I58" s="227">
        <f t="shared" si="37"/>
        <v>650</v>
      </c>
      <c r="J58" s="227">
        <f t="shared" si="37"/>
        <v>750</v>
      </c>
      <c r="K58" s="227">
        <f t="shared" si="37"/>
        <v>850</v>
      </c>
      <c r="L58" s="227">
        <f t="shared" si="37"/>
        <v>950</v>
      </c>
      <c r="M58" s="227">
        <f t="shared" si="37"/>
        <v>1050</v>
      </c>
      <c r="N58" s="227">
        <f t="shared" si="37"/>
        <v>1150</v>
      </c>
      <c r="O58" s="227">
        <f t="shared" si="37"/>
        <v>1250</v>
      </c>
      <c r="P58" s="227">
        <f t="shared" si="37"/>
        <v>1350</v>
      </c>
      <c r="Q58" s="227">
        <f t="shared" si="37"/>
        <v>1450</v>
      </c>
      <c r="R58" s="227">
        <f t="shared" si="37"/>
        <v>1550</v>
      </c>
      <c r="S58" s="227">
        <f t="shared" si="37"/>
        <v>1650</v>
      </c>
      <c r="T58" s="227">
        <f t="shared" si="37"/>
        <v>1750</v>
      </c>
      <c r="U58" s="227">
        <f t="shared" si="37"/>
        <v>1850</v>
      </c>
      <c r="V58" s="227">
        <f t="shared" si="37"/>
        <v>1950</v>
      </c>
      <c r="W58" s="227">
        <f t="shared" si="37"/>
        <v>2050</v>
      </c>
      <c r="X58" s="227">
        <f t="shared" si="37"/>
        <v>2150</v>
      </c>
      <c r="Y58" s="227">
        <f t="shared" si="37"/>
        <v>2250</v>
      </c>
      <c r="Z58" s="227">
        <f t="shared" si="37"/>
        <v>2350</v>
      </c>
      <c r="AA58" s="227">
        <f t="shared" si="37"/>
        <v>2450</v>
      </c>
      <c r="AB58" s="227">
        <f t="shared" si="37"/>
        <v>2550</v>
      </c>
      <c r="AC58" s="227">
        <f t="shared" si="37"/>
        <v>2650</v>
      </c>
      <c r="AD58" s="227">
        <f t="shared" si="37"/>
        <v>2750</v>
      </c>
      <c r="AE58" s="227">
        <f t="shared" si="37"/>
        <v>2850</v>
      </c>
      <c r="AF58" s="227">
        <f t="shared" si="37"/>
        <v>2950</v>
      </c>
      <c r="AG58" s="227">
        <f t="shared" si="37"/>
        <v>3050</v>
      </c>
      <c r="AJ58" s="29"/>
      <c r="AK58" s="29"/>
      <c r="AL58" s="29"/>
      <c r="AU58" s="203"/>
      <c r="AV58" s="203"/>
      <c r="AW58" s="203"/>
    </row>
    <row r="59" spans="2:49" x14ac:dyDescent="0.2">
      <c r="E59" s="31"/>
      <c r="G59" s="25"/>
      <c r="H59" s="25"/>
      <c r="I59" s="29"/>
      <c r="J59" s="29"/>
      <c r="P59" s="31"/>
      <c r="T59" s="2"/>
      <c r="U59" s="2"/>
      <c r="V59" s="2"/>
      <c r="W59" s="2"/>
      <c r="X59" s="2"/>
      <c r="Y59" s="2"/>
      <c r="Z59" s="2"/>
      <c r="AA59" s="2"/>
      <c r="AB59" s="2"/>
      <c r="AC59" s="2"/>
      <c r="AJ59" s="29"/>
      <c r="AK59" s="29"/>
      <c r="AL59" s="29"/>
      <c r="AU59" s="203"/>
      <c r="AV59" s="203"/>
      <c r="AW59" s="203"/>
    </row>
    <row r="60" spans="2:49" x14ac:dyDescent="0.2">
      <c r="T60" s="2"/>
      <c r="U60" s="2"/>
      <c r="V60" s="2"/>
      <c r="W60" s="2"/>
      <c r="X60" s="2"/>
      <c r="Y60" s="2"/>
      <c r="Z60" s="2"/>
      <c r="AA60" s="2"/>
      <c r="AB60" s="2"/>
      <c r="AC60" s="2"/>
      <c r="AJ60" s="29"/>
      <c r="AK60" s="29"/>
      <c r="AL60" s="29"/>
      <c r="AO60" s="108"/>
      <c r="AU60" s="203" t="e">
        <f ca="1">E8</f>
        <v>#NAME?</v>
      </c>
      <c r="AV60" s="203">
        <f>AV21</f>
        <v>500</v>
      </c>
      <c r="AW60" s="203">
        <f>E$6</f>
        <v>250</v>
      </c>
    </row>
    <row r="61" spans="2:49" x14ac:dyDescent="0.2">
      <c r="C61" s="282" t="s">
        <v>341</v>
      </c>
      <c r="T61" s="2"/>
      <c r="U61" s="2"/>
      <c r="V61" s="2"/>
      <c r="W61" s="2"/>
      <c r="X61" s="2"/>
      <c r="Y61" s="2"/>
      <c r="Z61" s="2"/>
      <c r="AA61" s="2"/>
      <c r="AB61" s="2"/>
      <c r="AC61" s="2"/>
      <c r="AJ61" s="29"/>
      <c r="AK61" s="29"/>
      <c r="AL61" s="29"/>
      <c r="AO61" s="108"/>
      <c r="AU61" s="203"/>
      <c r="AV61" s="203"/>
      <c r="AW61" s="203"/>
    </row>
    <row r="62" spans="2:49" x14ac:dyDescent="0.2">
      <c r="C62" s="227">
        <f t="shared" ref="C62:AG62" si="38">C6</f>
        <v>50</v>
      </c>
      <c r="D62" s="227">
        <f t="shared" si="38"/>
        <v>150</v>
      </c>
      <c r="E62" s="227">
        <f t="shared" si="38"/>
        <v>250</v>
      </c>
      <c r="F62" s="227">
        <f t="shared" si="38"/>
        <v>350</v>
      </c>
      <c r="G62" s="227">
        <f t="shared" si="38"/>
        <v>450</v>
      </c>
      <c r="H62" s="227">
        <f t="shared" si="38"/>
        <v>550</v>
      </c>
      <c r="I62" s="227">
        <f t="shared" si="38"/>
        <v>650</v>
      </c>
      <c r="J62" s="227">
        <f t="shared" si="38"/>
        <v>750</v>
      </c>
      <c r="K62" s="227">
        <f t="shared" si="38"/>
        <v>850</v>
      </c>
      <c r="L62" s="227">
        <f t="shared" si="38"/>
        <v>950</v>
      </c>
      <c r="M62" s="227">
        <f t="shared" si="38"/>
        <v>1050</v>
      </c>
      <c r="N62" s="227">
        <f t="shared" si="38"/>
        <v>1150</v>
      </c>
      <c r="O62" s="227">
        <f t="shared" si="38"/>
        <v>1250</v>
      </c>
      <c r="P62" s="227">
        <f t="shared" si="38"/>
        <v>1350</v>
      </c>
      <c r="Q62" s="227">
        <f t="shared" si="38"/>
        <v>1450</v>
      </c>
      <c r="R62" s="227">
        <f t="shared" si="38"/>
        <v>1550</v>
      </c>
      <c r="S62" s="227">
        <f t="shared" si="38"/>
        <v>1650</v>
      </c>
      <c r="T62" s="227">
        <f t="shared" si="38"/>
        <v>1750</v>
      </c>
      <c r="U62" s="227">
        <f t="shared" si="38"/>
        <v>1850</v>
      </c>
      <c r="V62" s="227">
        <f t="shared" si="38"/>
        <v>1950</v>
      </c>
      <c r="W62" s="227">
        <f t="shared" si="38"/>
        <v>2050</v>
      </c>
      <c r="X62" s="227">
        <f t="shared" si="38"/>
        <v>2150</v>
      </c>
      <c r="Y62" s="227">
        <f t="shared" si="38"/>
        <v>2250</v>
      </c>
      <c r="Z62" s="227">
        <f t="shared" si="38"/>
        <v>2350</v>
      </c>
      <c r="AA62" s="227">
        <f t="shared" si="38"/>
        <v>2450</v>
      </c>
      <c r="AB62" s="227">
        <f t="shared" si="38"/>
        <v>2550</v>
      </c>
      <c r="AC62" s="227">
        <f t="shared" si="38"/>
        <v>2650</v>
      </c>
      <c r="AD62" s="227">
        <f t="shared" si="38"/>
        <v>2750</v>
      </c>
      <c r="AE62" s="227">
        <f t="shared" si="38"/>
        <v>2850</v>
      </c>
      <c r="AF62" s="227">
        <f t="shared" si="38"/>
        <v>2950</v>
      </c>
      <c r="AG62" s="227">
        <f t="shared" si="38"/>
        <v>3050</v>
      </c>
      <c r="AJ62" s="29"/>
      <c r="AK62" s="29"/>
      <c r="AL62" s="29"/>
      <c r="AO62" s="108"/>
      <c r="AU62" s="203"/>
      <c r="AV62" s="203"/>
      <c r="AW62" s="203"/>
    </row>
    <row r="63" spans="2:49" x14ac:dyDescent="0.2">
      <c r="B63" s="227">
        <f t="shared" ref="B63:B75" si="39">B7</f>
        <v>600</v>
      </c>
      <c r="C63" s="228" t="e">
        <f t="shared" ref="C63:C69" ca="1" si="40">C7-$AO$17*(D7-C7)/$I$29</f>
        <v>#NAME?</v>
      </c>
      <c r="D63" s="228" t="e">
        <f t="shared" ref="D63:AG63" ca="1" si="41">D7-$AO$17*(E7-D7)/$I$29</f>
        <v>#NAME?</v>
      </c>
      <c r="E63" s="228" t="e">
        <f t="shared" ca="1" si="41"/>
        <v>#NAME?</v>
      </c>
      <c r="F63" s="228" t="e">
        <f t="shared" ca="1" si="41"/>
        <v>#NAME?</v>
      </c>
      <c r="G63" s="228" t="e">
        <f t="shared" ca="1" si="41"/>
        <v>#NAME?</v>
      </c>
      <c r="H63" s="228" t="e">
        <f t="shared" ca="1" si="41"/>
        <v>#NAME?</v>
      </c>
      <c r="I63" s="228" t="e">
        <f t="shared" ca="1" si="41"/>
        <v>#NAME?</v>
      </c>
      <c r="J63" s="228" t="e">
        <f t="shared" ca="1" si="41"/>
        <v>#NAME?</v>
      </c>
      <c r="K63" s="228" t="e">
        <f t="shared" ca="1" si="41"/>
        <v>#NAME?</v>
      </c>
      <c r="L63" s="228" t="e">
        <f t="shared" ca="1" si="41"/>
        <v>#NAME?</v>
      </c>
      <c r="M63" s="228" t="e">
        <f t="shared" ca="1" si="41"/>
        <v>#NAME?</v>
      </c>
      <c r="N63" s="228" t="e">
        <f t="shared" ca="1" si="41"/>
        <v>#NAME?</v>
      </c>
      <c r="O63" s="228" t="e">
        <f t="shared" ca="1" si="41"/>
        <v>#NAME?</v>
      </c>
      <c r="P63" s="228" t="e">
        <f t="shared" ca="1" si="41"/>
        <v>#NAME?</v>
      </c>
      <c r="Q63" s="228" t="e">
        <f t="shared" ca="1" si="41"/>
        <v>#NAME?</v>
      </c>
      <c r="R63" s="228" t="e">
        <f t="shared" ca="1" si="41"/>
        <v>#NAME?</v>
      </c>
      <c r="S63" s="228" t="e">
        <f t="shared" ca="1" si="41"/>
        <v>#NAME?</v>
      </c>
      <c r="T63" s="228" t="e">
        <f t="shared" ca="1" si="41"/>
        <v>#NAME?</v>
      </c>
      <c r="U63" s="228" t="e">
        <f t="shared" ca="1" si="41"/>
        <v>#NAME?</v>
      </c>
      <c r="V63" s="228" t="e">
        <f t="shared" ca="1" si="41"/>
        <v>#NAME?</v>
      </c>
      <c r="W63" s="228" t="e">
        <f t="shared" ca="1" si="41"/>
        <v>#NAME?</v>
      </c>
      <c r="X63" s="228" t="e">
        <f t="shared" ca="1" si="41"/>
        <v>#NAME?</v>
      </c>
      <c r="Y63" s="228" t="e">
        <f t="shared" ca="1" si="41"/>
        <v>#NAME?</v>
      </c>
      <c r="Z63" s="228" t="e">
        <f t="shared" ca="1" si="41"/>
        <v>#NAME?</v>
      </c>
      <c r="AA63" s="228" t="e">
        <f t="shared" ca="1" si="41"/>
        <v>#NAME?</v>
      </c>
      <c r="AB63" s="228" t="e">
        <f t="shared" ca="1" si="41"/>
        <v>#NAME?</v>
      </c>
      <c r="AC63" s="228" t="e">
        <f t="shared" ca="1" si="41"/>
        <v>#NAME?</v>
      </c>
      <c r="AD63" s="228" t="e">
        <f t="shared" ca="1" si="41"/>
        <v>#NAME?</v>
      </c>
      <c r="AE63" s="228" t="e">
        <f t="shared" ca="1" si="41"/>
        <v>#NAME?</v>
      </c>
      <c r="AF63" s="228" t="e">
        <f t="shared" ca="1" si="41"/>
        <v>#NAME?</v>
      </c>
      <c r="AG63" s="228" t="e">
        <f t="shared" ca="1" si="41"/>
        <v>#NAME?</v>
      </c>
      <c r="AJ63" s="29"/>
      <c r="AK63" s="29"/>
      <c r="AL63" s="29"/>
      <c r="AO63" s="108"/>
      <c r="AU63" s="203"/>
      <c r="AV63" s="203"/>
      <c r="AW63" s="203"/>
    </row>
    <row r="64" spans="2:49" x14ac:dyDescent="0.2">
      <c r="B64" s="227">
        <f t="shared" si="39"/>
        <v>500</v>
      </c>
      <c r="C64" s="228" t="e">
        <f t="shared" ca="1" si="40"/>
        <v>#NAME?</v>
      </c>
      <c r="D64" s="228" t="e">
        <f t="shared" ref="D64:AG64" ca="1" si="42">D8-$AO$17*(E8-D8)/$I$29</f>
        <v>#NAME?</v>
      </c>
      <c r="E64" s="228" t="e">
        <f t="shared" ca="1" si="42"/>
        <v>#NAME?</v>
      </c>
      <c r="F64" s="228" t="e">
        <f t="shared" ca="1" si="42"/>
        <v>#NAME?</v>
      </c>
      <c r="G64" s="228" t="e">
        <f t="shared" ca="1" si="42"/>
        <v>#NAME?</v>
      </c>
      <c r="H64" s="228" t="e">
        <f t="shared" ca="1" si="42"/>
        <v>#NAME?</v>
      </c>
      <c r="I64" s="228" t="e">
        <f t="shared" ca="1" si="42"/>
        <v>#NAME?</v>
      </c>
      <c r="J64" s="228" t="e">
        <f t="shared" ca="1" si="42"/>
        <v>#NAME?</v>
      </c>
      <c r="K64" s="228" t="e">
        <f t="shared" ca="1" si="42"/>
        <v>#NAME?</v>
      </c>
      <c r="L64" s="228" t="e">
        <f t="shared" ca="1" si="42"/>
        <v>#NAME?</v>
      </c>
      <c r="M64" s="228" t="e">
        <f t="shared" ca="1" si="42"/>
        <v>#NAME?</v>
      </c>
      <c r="N64" s="228" t="e">
        <f t="shared" ca="1" si="42"/>
        <v>#NAME?</v>
      </c>
      <c r="O64" s="228" t="e">
        <f t="shared" ca="1" si="42"/>
        <v>#NAME?</v>
      </c>
      <c r="P64" s="228" t="e">
        <f t="shared" ca="1" si="42"/>
        <v>#NAME?</v>
      </c>
      <c r="Q64" s="228" t="e">
        <f t="shared" ca="1" si="42"/>
        <v>#NAME?</v>
      </c>
      <c r="R64" s="228" t="e">
        <f t="shared" ca="1" si="42"/>
        <v>#NAME?</v>
      </c>
      <c r="S64" s="228" t="e">
        <f t="shared" ca="1" si="42"/>
        <v>#NAME?</v>
      </c>
      <c r="T64" s="228" t="e">
        <f t="shared" ca="1" si="42"/>
        <v>#NAME?</v>
      </c>
      <c r="U64" s="228" t="e">
        <f t="shared" ca="1" si="42"/>
        <v>#NAME?</v>
      </c>
      <c r="V64" s="228" t="e">
        <f t="shared" ca="1" si="42"/>
        <v>#NAME?</v>
      </c>
      <c r="W64" s="228" t="e">
        <f t="shared" ca="1" si="42"/>
        <v>#NAME?</v>
      </c>
      <c r="X64" s="228" t="e">
        <f t="shared" ca="1" si="42"/>
        <v>#NAME?</v>
      </c>
      <c r="Y64" s="228" t="e">
        <f t="shared" ca="1" si="42"/>
        <v>#NAME?</v>
      </c>
      <c r="Z64" s="228" t="e">
        <f t="shared" ca="1" si="42"/>
        <v>#NAME?</v>
      </c>
      <c r="AA64" s="228" t="e">
        <f t="shared" ca="1" si="42"/>
        <v>#NAME?</v>
      </c>
      <c r="AB64" s="228" t="e">
        <f t="shared" ca="1" si="42"/>
        <v>#NAME?</v>
      </c>
      <c r="AC64" s="228" t="e">
        <f t="shared" ca="1" si="42"/>
        <v>#NAME?</v>
      </c>
      <c r="AD64" s="228" t="e">
        <f t="shared" ca="1" si="42"/>
        <v>#NAME?</v>
      </c>
      <c r="AE64" s="228" t="e">
        <f t="shared" ca="1" si="42"/>
        <v>#NAME?</v>
      </c>
      <c r="AF64" s="228" t="e">
        <f t="shared" ca="1" si="42"/>
        <v>#NAME?</v>
      </c>
      <c r="AG64" s="228" t="e">
        <f t="shared" ca="1" si="42"/>
        <v>#NAME?</v>
      </c>
      <c r="AJ64" s="29"/>
      <c r="AK64" s="29"/>
      <c r="AL64" s="29"/>
      <c r="AO64" s="108"/>
      <c r="AU64" s="203"/>
      <c r="AV64" s="203"/>
      <c r="AW64" s="203"/>
    </row>
    <row r="65" spans="2:49" x14ac:dyDescent="0.2">
      <c r="B65" s="227">
        <f t="shared" si="39"/>
        <v>400</v>
      </c>
      <c r="C65" s="228" t="e">
        <f t="shared" ca="1" si="40"/>
        <v>#NAME?</v>
      </c>
      <c r="D65" s="228" t="e">
        <f t="shared" ref="D65:AG65" ca="1" si="43">D9-$AO$17*(E9-D9)/$I$29</f>
        <v>#NAME?</v>
      </c>
      <c r="E65" s="228" t="e">
        <f t="shared" ca="1" si="43"/>
        <v>#NAME?</v>
      </c>
      <c r="F65" s="228" t="e">
        <f t="shared" ca="1" si="43"/>
        <v>#NAME?</v>
      </c>
      <c r="G65" s="228" t="e">
        <f t="shared" ca="1" si="43"/>
        <v>#NAME?</v>
      </c>
      <c r="H65" s="228" t="e">
        <f t="shared" ca="1" si="43"/>
        <v>#NAME?</v>
      </c>
      <c r="I65" s="228" t="e">
        <f t="shared" ca="1" si="43"/>
        <v>#NAME?</v>
      </c>
      <c r="J65" s="228" t="e">
        <f t="shared" ca="1" si="43"/>
        <v>#NAME?</v>
      </c>
      <c r="K65" s="228" t="e">
        <f t="shared" ca="1" si="43"/>
        <v>#NAME?</v>
      </c>
      <c r="L65" s="228" t="e">
        <f t="shared" ca="1" si="43"/>
        <v>#NAME?</v>
      </c>
      <c r="M65" s="228" t="e">
        <f t="shared" ca="1" si="43"/>
        <v>#NAME?</v>
      </c>
      <c r="N65" s="228" t="e">
        <f t="shared" ca="1" si="43"/>
        <v>#NAME?</v>
      </c>
      <c r="O65" s="228" t="e">
        <f t="shared" ca="1" si="43"/>
        <v>#NAME?</v>
      </c>
      <c r="P65" s="228" t="e">
        <f t="shared" ca="1" si="43"/>
        <v>#NAME?</v>
      </c>
      <c r="Q65" s="228" t="e">
        <f t="shared" ca="1" si="43"/>
        <v>#NAME?</v>
      </c>
      <c r="R65" s="228" t="e">
        <f t="shared" ca="1" si="43"/>
        <v>#NAME?</v>
      </c>
      <c r="S65" s="228" t="e">
        <f t="shared" ca="1" si="43"/>
        <v>#NAME?</v>
      </c>
      <c r="T65" s="228" t="e">
        <f t="shared" ca="1" si="43"/>
        <v>#NAME?</v>
      </c>
      <c r="U65" s="228" t="e">
        <f t="shared" ca="1" si="43"/>
        <v>#NAME?</v>
      </c>
      <c r="V65" s="228" t="e">
        <f t="shared" ca="1" si="43"/>
        <v>#NAME?</v>
      </c>
      <c r="W65" s="228" t="e">
        <f t="shared" ca="1" si="43"/>
        <v>#NAME?</v>
      </c>
      <c r="X65" s="228" t="e">
        <f t="shared" ca="1" si="43"/>
        <v>#NAME?</v>
      </c>
      <c r="Y65" s="228" t="e">
        <f t="shared" ca="1" si="43"/>
        <v>#NAME?</v>
      </c>
      <c r="Z65" s="228" t="e">
        <f t="shared" ca="1" si="43"/>
        <v>#NAME?</v>
      </c>
      <c r="AA65" s="228" t="e">
        <f t="shared" ca="1" si="43"/>
        <v>#NAME?</v>
      </c>
      <c r="AB65" s="228" t="e">
        <f t="shared" ca="1" si="43"/>
        <v>#NAME?</v>
      </c>
      <c r="AC65" s="228" t="e">
        <f t="shared" ca="1" si="43"/>
        <v>#NAME?</v>
      </c>
      <c r="AD65" s="228" t="e">
        <f t="shared" ca="1" si="43"/>
        <v>#NAME?</v>
      </c>
      <c r="AE65" s="228" t="e">
        <f t="shared" ca="1" si="43"/>
        <v>#NAME?</v>
      </c>
      <c r="AF65" s="228" t="e">
        <f t="shared" ca="1" si="43"/>
        <v>#NAME?</v>
      </c>
      <c r="AG65" s="228" t="e">
        <f t="shared" ca="1" si="43"/>
        <v>#NAME?</v>
      </c>
      <c r="AJ65" s="29"/>
      <c r="AK65" s="29"/>
      <c r="AL65" s="29"/>
      <c r="AO65" s="108"/>
      <c r="AU65" s="203"/>
      <c r="AV65" s="203"/>
      <c r="AW65" s="203"/>
    </row>
    <row r="66" spans="2:49" x14ac:dyDescent="0.2">
      <c r="B66" s="227">
        <f t="shared" si="39"/>
        <v>300</v>
      </c>
      <c r="C66" s="228" t="e">
        <f t="shared" ca="1" si="40"/>
        <v>#NAME?</v>
      </c>
      <c r="D66" s="228" t="e">
        <f t="shared" ref="D66:AG66" ca="1" si="44">D10-$AO$17*(E10-D10)/$I$29</f>
        <v>#NAME?</v>
      </c>
      <c r="E66" s="228" t="e">
        <f t="shared" ca="1" si="44"/>
        <v>#NAME?</v>
      </c>
      <c r="F66" s="228" t="e">
        <f t="shared" ca="1" si="44"/>
        <v>#NAME?</v>
      </c>
      <c r="G66" s="228" t="e">
        <f t="shared" ca="1" si="44"/>
        <v>#NAME?</v>
      </c>
      <c r="H66" s="228" t="e">
        <f t="shared" ca="1" si="44"/>
        <v>#NAME?</v>
      </c>
      <c r="I66" s="228" t="e">
        <f t="shared" ca="1" si="44"/>
        <v>#NAME?</v>
      </c>
      <c r="J66" s="228" t="e">
        <f t="shared" ca="1" si="44"/>
        <v>#NAME?</v>
      </c>
      <c r="K66" s="228" t="e">
        <f t="shared" ca="1" si="44"/>
        <v>#NAME?</v>
      </c>
      <c r="L66" s="228" t="e">
        <f t="shared" ca="1" si="44"/>
        <v>#NAME?</v>
      </c>
      <c r="M66" s="228" t="e">
        <f t="shared" ca="1" si="44"/>
        <v>#NAME?</v>
      </c>
      <c r="N66" s="228" t="e">
        <f t="shared" ca="1" si="44"/>
        <v>#NAME?</v>
      </c>
      <c r="O66" s="228" t="e">
        <f t="shared" ca="1" si="44"/>
        <v>#NAME?</v>
      </c>
      <c r="P66" s="228" t="e">
        <f t="shared" ca="1" si="44"/>
        <v>#NAME?</v>
      </c>
      <c r="Q66" s="228" t="e">
        <f t="shared" ca="1" si="44"/>
        <v>#NAME?</v>
      </c>
      <c r="R66" s="228" t="e">
        <f t="shared" ca="1" si="44"/>
        <v>#NAME?</v>
      </c>
      <c r="S66" s="228" t="e">
        <f t="shared" ca="1" si="44"/>
        <v>#NAME?</v>
      </c>
      <c r="T66" s="228" t="e">
        <f t="shared" ca="1" si="44"/>
        <v>#NAME?</v>
      </c>
      <c r="U66" s="228" t="e">
        <f t="shared" ca="1" si="44"/>
        <v>#NAME?</v>
      </c>
      <c r="V66" s="228" t="e">
        <f t="shared" ca="1" si="44"/>
        <v>#NAME?</v>
      </c>
      <c r="W66" s="228" t="e">
        <f t="shared" ca="1" si="44"/>
        <v>#NAME?</v>
      </c>
      <c r="X66" s="228" t="e">
        <f t="shared" ca="1" si="44"/>
        <v>#NAME?</v>
      </c>
      <c r="Y66" s="228" t="e">
        <f t="shared" ca="1" si="44"/>
        <v>#NAME?</v>
      </c>
      <c r="Z66" s="228" t="e">
        <f t="shared" ca="1" si="44"/>
        <v>#NAME?</v>
      </c>
      <c r="AA66" s="228" t="e">
        <f t="shared" ca="1" si="44"/>
        <v>#NAME?</v>
      </c>
      <c r="AB66" s="228" t="e">
        <f t="shared" ca="1" si="44"/>
        <v>#NAME?</v>
      </c>
      <c r="AC66" s="228" t="e">
        <f t="shared" ca="1" si="44"/>
        <v>#NAME?</v>
      </c>
      <c r="AD66" s="228" t="e">
        <f t="shared" ca="1" si="44"/>
        <v>#NAME?</v>
      </c>
      <c r="AE66" s="228" t="e">
        <f t="shared" ca="1" si="44"/>
        <v>#NAME?</v>
      </c>
      <c r="AF66" s="228" t="e">
        <f t="shared" ca="1" si="44"/>
        <v>#NAME?</v>
      </c>
      <c r="AG66" s="228" t="e">
        <f t="shared" ca="1" si="44"/>
        <v>#NAME?</v>
      </c>
      <c r="AJ66" s="29"/>
      <c r="AK66" s="29"/>
      <c r="AL66" s="29"/>
      <c r="AO66" s="108"/>
      <c r="AU66" s="203"/>
      <c r="AV66" s="203"/>
      <c r="AW66" s="203"/>
    </row>
    <row r="67" spans="2:49" x14ac:dyDescent="0.2">
      <c r="B67" s="227">
        <f t="shared" si="39"/>
        <v>200</v>
      </c>
      <c r="C67" s="228" t="e">
        <f t="shared" ca="1" si="40"/>
        <v>#NAME?</v>
      </c>
      <c r="D67" s="228" t="e">
        <f t="shared" ref="D67:AG67" ca="1" si="45">D11-$AO$17*(E11-D11)/$I$29</f>
        <v>#NAME?</v>
      </c>
      <c r="E67" s="228" t="e">
        <f t="shared" ca="1" si="45"/>
        <v>#NAME?</v>
      </c>
      <c r="F67" s="228" t="e">
        <f t="shared" ca="1" si="45"/>
        <v>#NAME?</v>
      </c>
      <c r="G67" s="228" t="e">
        <f t="shared" ca="1" si="45"/>
        <v>#NAME?</v>
      </c>
      <c r="H67" s="228" t="e">
        <f t="shared" ca="1" si="45"/>
        <v>#NAME?</v>
      </c>
      <c r="I67" s="228" t="e">
        <f t="shared" ca="1" si="45"/>
        <v>#NAME?</v>
      </c>
      <c r="J67" s="228" t="e">
        <f t="shared" ca="1" si="45"/>
        <v>#NAME?</v>
      </c>
      <c r="K67" s="228" t="e">
        <f t="shared" ca="1" si="45"/>
        <v>#NAME?</v>
      </c>
      <c r="L67" s="228" t="e">
        <f t="shared" ca="1" si="45"/>
        <v>#NAME?</v>
      </c>
      <c r="M67" s="228" t="e">
        <f t="shared" ca="1" si="45"/>
        <v>#NAME?</v>
      </c>
      <c r="N67" s="228" t="e">
        <f t="shared" ca="1" si="45"/>
        <v>#NAME?</v>
      </c>
      <c r="O67" s="228" t="e">
        <f t="shared" ca="1" si="45"/>
        <v>#NAME?</v>
      </c>
      <c r="P67" s="228" t="e">
        <f t="shared" ca="1" si="45"/>
        <v>#NAME?</v>
      </c>
      <c r="Q67" s="228" t="e">
        <f t="shared" ca="1" si="45"/>
        <v>#NAME?</v>
      </c>
      <c r="R67" s="228" t="e">
        <f t="shared" ca="1" si="45"/>
        <v>#NAME?</v>
      </c>
      <c r="S67" s="228" t="e">
        <f t="shared" ca="1" si="45"/>
        <v>#NAME?</v>
      </c>
      <c r="T67" s="228" t="e">
        <f t="shared" ca="1" si="45"/>
        <v>#NAME?</v>
      </c>
      <c r="U67" s="228" t="e">
        <f t="shared" ca="1" si="45"/>
        <v>#NAME?</v>
      </c>
      <c r="V67" s="228" t="e">
        <f t="shared" ca="1" si="45"/>
        <v>#NAME?</v>
      </c>
      <c r="W67" s="228" t="e">
        <f t="shared" ca="1" si="45"/>
        <v>#NAME?</v>
      </c>
      <c r="X67" s="228" t="e">
        <f t="shared" ca="1" si="45"/>
        <v>#NAME?</v>
      </c>
      <c r="Y67" s="228" t="e">
        <f t="shared" ca="1" si="45"/>
        <v>#NAME?</v>
      </c>
      <c r="Z67" s="228" t="e">
        <f t="shared" ca="1" si="45"/>
        <v>#NAME?</v>
      </c>
      <c r="AA67" s="228" t="e">
        <f t="shared" ca="1" si="45"/>
        <v>#NAME?</v>
      </c>
      <c r="AB67" s="228" t="e">
        <f t="shared" ca="1" si="45"/>
        <v>#NAME?</v>
      </c>
      <c r="AC67" s="228" t="e">
        <f t="shared" ca="1" si="45"/>
        <v>#NAME?</v>
      </c>
      <c r="AD67" s="228" t="e">
        <f t="shared" ca="1" si="45"/>
        <v>#NAME?</v>
      </c>
      <c r="AE67" s="228" t="e">
        <f t="shared" ca="1" si="45"/>
        <v>#NAME?</v>
      </c>
      <c r="AF67" s="228" t="e">
        <f t="shared" ca="1" si="45"/>
        <v>#NAME?</v>
      </c>
      <c r="AG67" s="228" t="e">
        <f t="shared" ca="1" si="45"/>
        <v>#NAME?</v>
      </c>
      <c r="AJ67" s="29"/>
      <c r="AK67" s="29"/>
      <c r="AL67" s="29"/>
      <c r="AO67" s="108"/>
      <c r="AU67" s="203"/>
      <c r="AV67" s="203"/>
      <c r="AW67" s="203"/>
    </row>
    <row r="68" spans="2:49" x14ac:dyDescent="0.2">
      <c r="B68" s="227">
        <f t="shared" si="39"/>
        <v>100</v>
      </c>
      <c r="C68" s="228" t="e">
        <f t="shared" ca="1" si="40"/>
        <v>#NAME?</v>
      </c>
      <c r="D68" s="228" t="e">
        <f t="shared" ref="D68:AG68" ca="1" si="46">D12-$AO$17*(E12-D12)/$I$29</f>
        <v>#NAME?</v>
      </c>
      <c r="E68" s="228" t="e">
        <f t="shared" ca="1" si="46"/>
        <v>#NAME?</v>
      </c>
      <c r="F68" s="228" t="e">
        <f t="shared" ca="1" si="46"/>
        <v>#NAME?</v>
      </c>
      <c r="G68" s="228" t="e">
        <f t="shared" ca="1" si="46"/>
        <v>#NAME?</v>
      </c>
      <c r="H68" s="228" t="e">
        <f t="shared" ca="1" si="46"/>
        <v>#NAME?</v>
      </c>
      <c r="I68" s="228" t="e">
        <f t="shared" ca="1" si="46"/>
        <v>#NAME?</v>
      </c>
      <c r="J68" s="228" t="e">
        <f t="shared" ca="1" si="46"/>
        <v>#NAME?</v>
      </c>
      <c r="K68" s="228" t="e">
        <f t="shared" ca="1" si="46"/>
        <v>#NAME?</v>
      </c>
      <c r="L68" s="228" t="e">
        <f t="shared" ca="1" si="46"/>
        <v>#NAME?</v>
      </c>
      <c r="M68" s="228" t="e">
        <f t="shared" ca="1" si="46"/>
        <v>#NAME?</v>
      </c>
      <c r="N68" s="228" t="e">
        <f t="shared" ca="1" si="46"/>
        <v>#NAME?</v>
      </c>
      <c r="O68" s="228" t="e">
        <f t="shared" ca="1" si="46"/>
        <v>#NAME?</v>
      </c>
      <c r="P68" s="228" t="e">
        <f t="shared" ca="1" si="46"/>
        <v>#NAME?</v>
      </c>
      <c r="Q68" s="228" t="e">
        <f t="shared" ca="1" si="46"/>
        <v>#NAME?</v>
      </c>
      <c r="R68" s="228" t="e">
        <f t="shared" ca="1" si="46"/>
        <v>#NAME?</v>
      </c>
      <c r="S68" s="228" t="e">
        <f t="shared" ca="1" si="46"/>
        <v>#NAME?</v>
      </c>
      <c r="T68" s="228" t="e">
        <f t="shared" ca="1" si="46"/>
        <v>#NAME?</v>
      </c>
      <c r="U68" s="228" t="e">
        <f t="shared" ca="1" si="46"/>
        <v>#NAME?</v>
      </c>
      <c r="V68" s="228" t="e">
        <f t="shared" ca="1" si="46"/>
        <v>#NAME?</v>
      </c>
      <c r="W68" s="228" t="e">
        <f t="shared" ca="1" si="46"/>
        <v>#NAME?</v>
      </c>
      <c r="X68" s="228" t="e">
        <f t="shared" ca="1" si="46"/>
        <v>#NAME?</v>
      </c>
      <c r="Y68" s="228" t="e">
        <f t="shared" ca="1" si="46"/>
        <v>#NAME?</v>
      </c>
      <c r="Z68" s="228" t="e">
        <f t="shared" ca="1" si="46"/>
        <v>#NAME?</v>
      </c>
      <c r="AA68" s="228" t="e">
        <f t="shared" ca="1" si="46"/>
        <v>#NAME?</v>
      </c>
      <c r="AB68" s="228" t="e">
        <f t="shared" ca="1" si="46"/>
        <v>#NAME?</v>
      </c>
      <c r="AC68" s="228" t="e">
        <f t="shared" ca="1" si="46"/>
        <v>#NAME?</v>
      </c>
      <c r="AD68" s="228" t="e">
        <f t="shared" ca="1" si="46"/>
        <v>#NAME?</v>
      </c>
      <c r="AE68" s="228" t="e">
        <f t="shared" ca="1" si="46"/>
        <v>#NAME?</v>
      </c>
      <c r="AF68" s="228" t="e">
        <f t="shared" ca="1" si="46"/>
        <v>#NAME?</v>
      </c>
      <c r="AG68" s="228" t="e">
        <f t="shared" ca="1" si="46"/>
        <v>#NAME?</v>
      </c>
      <c r="AJ68" s="29"/>
      <c r="AK68" s="29"/>
      <c r="AL68" s="29"/>
      <c r="AO68" s="108"/>
      <c r="AU68" s="203"/>
      <c r="AV68" s="203"/>
      <c r="AW68" s="203"/>
    </row>
    <row r="69" spans="2:49" x14ac:dyDescent="0.2">
      <c r="B69" s="227">
        <f t="shared" si="39"/>
        <v>0</v>
      </c>
      <c r="C69" s="228" t="e">
        <f t="shared" ca="1" si="40"/>
        <v>#NAME?</v>
      </c>
      <c r="D69" s="228" t="e">
        <f t="shared" ref="D69:AG69" ca="1" si="47">D13-$AO$17*(E13-D13)/$I$29</f>
        <v>#NAME?</v>
      </c>
      <c r="E69" s="228" t="e">
        <f t="shared" ca="1" si="47"/>
        <v>#NAME?</v>
      </c>
      <c r="F69" s="228" t="e">
        <f t="shared" ca="1" si="47"/>
        <v>#NAME?</v>
      </c>
      <c r="G69" s="228" t="e">
        <f t="shared" ca="1" si="47"/>
        <v>#NAME?</v>
      </c>
      <c r="H69" s="228" t="e">
        <f t="shared" ca="1" si="47"/>
        <v>#NAME?</v>
      </c>
      <c r="I69" s="228" t="e">
        <f t="shared" ca="1" si="47"/>
        <v>#NAME?</v>
      </c>
      <c r="J69" s="228" t="e">
        <f t="shared" ca="1" si="47"/>
        <v>#NAME?</v>
      </c>
      <c r="K69" s="228" t="e">
        <f t="shared" ca="1" si="47"/>
        <v>#NAME?</v>
      </c>
      <c r="L69" s="228" t="e">
        <f t="shared" ca="1" si="47"/>
        <v>#NAME?</v>
      </c>
      <c r="M69" s="228" t="e">
        <f t="shared" ca="1" si="47"/>
        <v>#NAME?</v>
      </c>
      <c r="N69" s="228" t="e">
        <f t="shared" ca="1" si="47"/>
        <v>#NAME?</v>
      </c>
      <c r="O69" s="228" t="e">
        <f t="shared" ca="1" si="47"/>
        <v>#NAME?</v>
      </c>
      <c r="P69" s="228" t="e">
        <f t="shared" ca="1" si="47"/>
        <v>#NAME?</v>
      </c>
      <c r="Q69" s="228" t="e">
        <f t="shared" ca="1" si="47"/>
        <v>#NAME?</v>
      </c>
      <c r="R69" s="228" t="e">
        <f t="shared" ca="1" si="47"/>
        <v>#NAME?</v>
      </c>
      <c r="S69" s="228" t="e">
        <f t="shared" ca="1" si="47"/>
        <v>#NAME?</v>
      </c>
      <c r="T69" s="228" t="e">
        <f t="shared" ca="1" si="47"/>
        <v>#NAME?</v>
      </c>
      <c r="U69" s="228" t="e">
        <f t="shared" ca="1" si="47"/>
        <v>#NAME?</v>
      </c>
      <c r="V69" s="228" t="e">
        <f t="shared" ca="1" si="47"/>
        <v>#NAME?</v>
      </c>
      <c r="W69" s="228" t="e">
        <f t="shared" ca="1" si="47"/>
        <v>#NAME?</v>
      </c>
      <c r="X69" s="228" t="e">
        <f t="shared" ca="1" si="47"/>
        <v>#NAME?</v>
      </c>
      <c r="Y69" s="228" t="e">
        <f t="shared" ca="1" si="47"/>
        <v>#NAME?</v>
      </c>
      <c r="Z69" s="228" t="e">
        <f t="shared" ca="1" si="47"/>
        <v>#NAME?</v>
      </c>
      <c r="AA69" s="228" t="e">
        <f t="shared" ca="1" si="47"/>
        <v>#NAME?</v>
      </c>
      <c r="AB69" s="228" t="e">
        <f t="shared" ca="1" si="47"/>
        <v>#NAME?</v>
      </c>
      <c r="AC69" s="228" t="e">
        <f t="shared" ca="1" si="47"/>
        <v>#NAME?</v>
      </c>
      <c r="AD69" s="228" t="e">
        <f t="shared" ca="1" si="47"/>
        <v>#NAME?</v>
      </c>
      <c r="AE69" s="228" t="e">
        <f t="shared" ca="1" si="47"/>
        <v>#NAME?</v>
      </c>
      <c r="AF69" s="228" t="e">
        <f t="shared" ca="1" si="47"/>
        <v>#NAME?</v>
      </c>
      <c r="AG69" s="228" t="e">
        <f t="shared" ca="1" si="47"/>
        <v>#NAME?</v>
      </c>
      <c r="AJ69" s="29"/>
      <c r="AK69" s="29"/>
      <c r="AL69" s="29"/>
      <c r="AO69" s="108"/>
      <c r="AU69" s="203"/>
      <c r="AV69" s="203"/>
      <c r="AW69" s="203"/>
    </row>
    <row r="70" spans="2:49" x14ac:dyDescent="0.2">
      <c r="B70" s="227">
        <f t="shared" si="39"/>
        <v>-100</v>
      </c>
      <c r="C70" s="228" t="e">
        <f t="shared" ref="C70:R70" ca="1" si="48">C68</f>
        <v>#NAME?</v>
      </c>
      <c r="D70" s="228" t="e">
        <f t="shared" ca="1" si="48"/>
        <v>#NAME?</v>
      </c>
      <c r="E70" s="228" t="e">
        <f t="shared" ca="1" si="48"/>
        <v>#NAME?</v>
      </c>
      <c r="F70" s="228" t="e">
        <f t="shared" ca="1" si="48"/>
        <v>#NAME?</v>
      </c>
      <c r="G70" s="228" t="e">
        <f t="shared" ca="1" si="48"/>
        <v>#NAME?</v>
      </c>
      <c r="H70" s="228" t="e">
        <f t="shared" ca="1" si="48"/>
        <v>#NAME?</v>
      </c>
      <c r="I70" s="228" t="e">
        <f t="shared" ca="1" si="48"/>
        <v>#NAME?</v>
      </c>
      <c r="J70" s="228" t="e">
        <f t="shared" ca="1" si="48"/>
        <v>#NAME?</v>
      </c>
      <c r="K70" s="228" t="e">
        <f t="shared" ca="1" si="48"/>
        <v>#NAME?</v>
      </c>
      <c r="L70" s="228" t="e">
        <f t="shared" ca="1" si="48"/>
        <v>#NAME?</v>
      </c>
      <c r="M70" s="228" t="e">
        <f t="shared" ca="1" si="48"/>
        <v>#NAME?</v>
      </c>
      <c r="N70" s="228" t="e">
        <f t="shared" ca="1" si="48"/>
        <v>#NAME?</v>
      </c>
      <c r="O70" s="228" t="e">
        <f t="shared" ca="1" si="48"/>
        <v>#NAME?</v>
      </c>
      <c r="P70" s="228" t="e">
        <f t="shared" ca="1" si="48"/>
        <v>#NAME?</v>
      </c>
      <c r="Q70" s="228" t="e">
        <f t="shared" ca="1" si="48"/>
        <v>#NAME?</v>
      </c>
      <c r="R70" s="228" t="e">
        <f t="shared" ca="1" si="48"/>
        <v>#NAME?</v>
      </c>
      <c r="S70" s="228" t="e">
        <f t="shared" ref="S70:AG70" ca="1" si="49">S68</f>
        <v>#NAME?</v>
      </c>
      <c r="T70" s="228" t="e">
        <f t="shared" ca="1" si="49"/>
        <v>#NAME?</v>
      </c>
      <c r="U70" s="228" t="e">
        <f t="shared" ca="1" si="49"/>
        <v>#NAME?</v>
      </c>
      <c r="V70" s="228" t="e">
        <f t="shared" ca="1" si="49"/>
        <v>#NAME?</v>
      </c>
      <c r="W70" s="228" t="e">
        <f t="shared" ca="1" si="49"/>
        <v>#NAME?</v>
      </c>
      <c r="X70" s="228" t="e">
        <f t="shared" ca="1" si="49"/>
        <v>#NAME?</v>
      </c>
      <c r="Y70" s="228" t="e">
        <f t="shared" ca="1" si="49"/>
        <v>#NAME?</v>
      </c>
      <c r="Z70" s="228" t="e">
        <f t="shared" ca="1" si="49"/>
        <v>#NAME?</v>
      </c>
      <c r="AA70" s="228" t="e">
        <f t="shared" ca="1" si="49"/>
        <v>#NAME?</v>
      </c>
      <c r="AB70" s="228" t="e">
        <f t="shared" ca="1" si="49"/>
        <v>#NAME?</v>
      </c>
      <c r="AC70" s="228" t="e">
        <f t="shared" ca="1" si="49"/>
        <v>#NAME?</v>
      </c>
      <c r="AD70" s="228" t="e">
        <f t="shared" ca="1" si="49"/>
        <v>#NAME?</v>
      </c>
      <c r="AE70" s="228" t="e">
        <f t="shared" ca="1" si="49"/>
        <v>#NAME?</v>
      </c>
      <c r="AF70" s="228" t="e">
        <f t="shared" ca="1" si="49"/>
        <v>#NAME?</v>
      </c>
      <c r="AG70" s="228" t="e">
        <f t="shared" ca="1" si="49"/>
        <v>#NAME?</v>
      </c>
      <c r="AJ70" s="29"/>
      <c r="AK70" s="29"/>
      <c r="AL70" s="29"/>
      <c r="AO70" s="108"/>
      <c r="AU70" s="203"/>
      <c r="AV70" s="203"/>
      <c r="AW70" s="203"/>
    </row>
    <row r="71" spans="2:49" x14ac:dyDescent="0.2">
      <c r="B71" s="227">
        <f t="shared" si="39"/>
        <v>-200</v>
      </c>
      <c r="C71" s="228" t="e">
        <f ca="1">C67</f>
        <v>#NAME?</v>
      </c>
      <c r="D71" s="228" t="e">
        <f t="shared" ref="D71:AG71" ca="1" si="50">D67</f>
        <v>#NAME?</v>
      </c>
      <c r="E71" s="228" t="e">
        <f t="shared" ca="1" si="50"/>
        <v>#NAME?</v>
      </c>
      <c r="F71" s="228" t="e">
        <f t="shared" ca="1" si="50"/>
        <v>#NAME?</v>
      </c>
      <c r="G71" s="228" t="e">
        <f t="shared" ca="1" si="50"/>
        <v>#NAME?</v>
      </c>
      <c r="H71" s="228" t="e">
        <f t="shared" ca="1" si="50"/>
        <v>#NAME?</v>
      </c>
      <c r="I71" s="228" t="e">
        <f t="shared" ca="1" si="50"/>
        <v>#NAME?</v>
      </c>
      <c r="J71" s="228" t="e">
        <f t="shared" ca="1" si="50"/>
        <v>#NAME?</v>
      </c>
      <c r="K71" s="228" t="e">
        <f t="shared" ca="1" si="50"/>
        <v>#NAME?</v>
      </c>
      <c r="L71" s="228" t="e">
        <f t="shared" ca="1" si="50"/>
        <v>#NAME?</v>
      </c>
      <c r="M71" s="228" t="e">
        <f t="shared" ca="1" si="50"/>
        <v>#NAME?</v>
      </c>
      <c r="N71" s="228" t="e">
        <f t="shared" ca="1" si="50"/>
        <v>#NAME?</v>
      </c>
      <c r="O71" s="228" t="e">
        <f t="shared" ca="1" si="50"/>
        <v>#NAME?</v>
      </c>
      <c r="P71" s="228" t="e">
        <f t="shared" ca="1" si="50"/>
        <v>#NAME?</v>
      </c>
      <c r="Q71" s="228" t="e">
        <f t="shared" ca="1" si="50"/>
        <v>#NAME?</v>
      </c>
      <c r="R71" s="228" t="e">
        <f t="shared" ca="1" si="50"/>
        <v>#NAME?</v>
      </c>
      <c r="S71" s="228" t="e">
        <f t="shared" ca="1" si="50"/>
        <v>#NAME?</v>
      </c>
      <c r="T71" s="228" t="e">
        <f t="shared" ca="1" si="50"/>
        <v>#NAME?</v>
      </c>
      <c r="U71" s="228" t="e">
        <f t="shared" ca="1" si="50"/>
        <v>#NAME?</v>
      </c>
      <c r="V71" s="228" t="e">
        <f t="shared" ca="1" si="50"/>
        <v>#NAME?</v>
      </c>
      <c r="W71" s="228" t="e">
        <f t="shared" ca="1" si="50"/>
        <v>#NAME?</v>
      </c>
      <c r="X71" s="228" t="e">
        <f t="shared" ca="1" si="50"/>
        <v>#NAME?</v>
      </c>
      <c r="Y71" s="228" t="e">
        <f t="shared" ca="1" si="50"/>
        <v>#NAME?</v>
      </c>
      <c r="Z71" s="228" t="e">
        <f t="shared" ca="1" si="50"/>
        <v>#NAME?</v>
      </c>
      <c r="AA71" s="228" t="e">
        <f t="shared" ca="1" si="50"/>
        <v>#NAME?</v>
      </c>
      <c r="AB71" s="228" t="e">
        <f t="shared" ca="1" si="50"/>
        <v>#NAME?</v>
      </c>
      <c r="AC71" s="228" t="e">
        <f t="shared" ca="1" si="50"/>
        <v>#NAME?</v>
      </c>
      <c r="AD71" s="228" t="e">
        <f t="shared" ca="1" si="50"/>
        <v>#NAME?</v>
      </c>
      <c r="AE71" s="228" t="e">
        <f t="shared" ca="1" si="50"/>
        <v>#NAME?</v>
      </c>
      <c r="AF71" s="228" t="e">
        <f t="shared" ca="1" si="50"/>
        <v>#NAME?</v>
      </c>
      <c r="AG71" s="228" t="e">
        <f t="shared" ca="1" si="50"/>
        <v>#NAME?</v>
      </c>
      <c r="AJ71" s="29"/>
      <c r="AK71" s="29"/>
      <c r="AL71" s="29"/>
      <c r="AO71" s="108"/>
      <c r="AU71" s="203"/>
      <c r="AV71" s="203"/>
      <c r="AW71" s="203"/>
    </row>
    <row r="72" spans="2:49" x14ac:dyDescent="0.2">
      <c r="B72" s="227">
        <f t="shared" si="39"/>
        <v>-300</v>
      </c>
      <c r="C72" s="228" t="e">
        <f ca="1">C66</f>
        <v>#NAME?</v>
      </c>
      <c r="D72" s="228" t="e">
        <f t="shared" ref="D72:AG72" ca="1" si="51">D66</f>
        <v>#NAME?</v>
      </c>
      <c r="E72" s="228" t="e">
        <f t="shared" ca="1" si="51"/>
        <v>#NAME?</v>
      </c>
      <c r="F72" s="228" t="e">
        <f t="shared" ca="1" si="51"/>
        <v>#NAME?</v>
      </c>
      <c r="G72" s="228" t="e">
        <f t="shared" ca="1" si="51"/>
        <v>#NAME?</v>
      </c>
      <c r="H72" s="228" t="e">
        <f t="shared" ca="1" si="51"/>
        <v>#NAME?</v>
      </c>
      <c r="I72" s="228" t="e">
        <f t="shared" ca="1" si="51"/>
        <v>#NAME?</v>
      </c>
      <c r="J72" s="228" t="e">
        <f t="shared" ca="1" si="51"/>
        <v>#NAME?</v>
      </c>
      <c r="K72" s="228" t="e">
        <f t="shared" ca="1" si="51"/>
        <v>#NAME?</v>
      </c>
      <c r="L72" s="228" t="e">
        <f t="shared" ca="1" si="51"/>
        <v>#NAME?</v>
      </c>
      <c r="M72" s="228" t="e">
        <f t="shared" ca="1" si="51"/>
        <v>#NAME?</v>
      </c>
      <c r="N72" s="228" t="e">
        <f t="shared" ca="1" si="51"/>
        <v>#NAME?</v>
      </c>
      <c r="O72" s="228" t="e">
        <f t="shared" ca="1" si="51"/>
        <v>#NAME?</v>
      </c>
      <c r="P72" s="228" t="e">
        <f t="shared" ca="1" si="51"/>
        <v>#NAME?</v>
      </c>
      <c r="Q72" s="228" t="e">
        <f t="shared" ca="1" si="51"/>
        <v>#NAME?</v>
      </c>
      <c r="R72" s="228" t="e">
        <f t="shared" ca="1" si="51"/>
        <v>#NAME?</v>
      </c>
      <c r="S72" s="228" t="e">
        <f t="shared" ca="1" si="51"/>
        <v>#NAME?</v>
      </c>
      <c r="T72" s="228" t="e">
        <f t="shared" ca="1" si="51"/>
        <v>#NAME?</v>
      </c>
      <c r="U72" s="228" t="e">
        <f t="shared" ca="1" si="51"/>
        <v>#NAME?</v>
      </c>
      <c r="V72" s="228" t="e">
        <f t="shared" ca="1" si="51"/>
        <v>#NAME?</v>
      </c>
      <c r="W72" s="228" t="e">
        <f t="shared" ca="1" si="51"/>
        <v>#NAME?</v>
      </c>
      <c r="X72" s="228" t="e">
        <f t="shared" ca="1" si="51"/>
        <v>#NAME?</v>
      </c>
      <c r="Y72" s="228" t="e">
        <f t="shared" ca="1" si="51"/>
        <v>#NAME?</v>
      </c>
      <c r="Z72" s="228" t="e">
        <f t="shared" ca="1" si="51"/>
        <v>#NAME?</v>
      </c>
      <c r="AA72" s="228" t="e">
        <f t="shared" ca="1" si="51"/>
        <v>#NAME?</v>
      </c>
      <c r="AB72" s="228" t="e">
        <f t="shared" ca="1" si="51"/>
        <v>#NAME?</v>
      </c>
      <c r="AC72" s="228" t="e">
        <f t="shared" ca="1" si="51"/>
        <v>#NAME?</v>
      </c>
      <c r="AD72" s="228" t="e">
        <f t="shared" ca="1" si="51"/>
        <v>#NAME?</v>
      </c>
      <c r="AE72" s="228" t="e">
        <f t="shared" ca="1" si="51"/>
        <v>#NAME?</v>
      </c>
      <c r="AF72" s="228" t="e">
        <f t="shared" ca="1" si="51"/>
        <v>#NAME?</v>
      </c>
      <c r="AG72" s="228" t="e">
        <f t="shared" ca="1" si="51"/>
        <v>#NAME?</v>
      </c>
      <c r="AJ72" s="29"/>
      <c r="AK72" s="29"/>
      <c r="AL72" s="29"/>
      <c r="AO72" s="108"/>
      <c r="AU72" s="203"/>
      <c r="AV72" s="203"/>
      <c r="AW72" s="203"/>
    </row>
    <row r="73" spans="2:49" x14ac:dyDescent="0.2">
      <c r="B73" s="227">
        <f t="shared" si="39"/>
        <v>-400</v>
      </c>
      <c r="C73" s="228" t="e">
        <f ca="1">C65</f>
        <v>#NAME?</v>
      </c>
      <c r="D73" s="228" t="e">
        <f t="shared" ref="D73:AG73" ca="1" si="52">D65</f>
        <v>#NAME?</v>
      </c>
      <c r="E73" s="228" t="e">
        <f t="shared" ca="1" si="52"/>
        <v>#NAME?</v>
      </c>
      <c r="F73" s="228" t="e">
        <f t="shared" ca="1" si="52"/>
        <v>#NAME?</v>
      </c>
      <c r="G73" s="228" t="e">
        <f t="shared" ca="1" si="52"/>
        <v>#NAME?</v>
      </c>
      <c r="H73" s="228" t="e">
        <f t="shared" ca="1" si="52"/>
        <v>#NAME?</v>
      </c>
      <c r="I73" s="228" t="e">
        <f t="shared" ca="1" si="52"/>
        <v>#NAME?</v>
      </c>
      <c r="J73" s="228" t="e">
        <f t="shared" ca="1" si="52"/>
        <v>#NAME?</v>
      </c>
      <c r="K73" s="228" t="e">
        <f t="shared" ca="1" si="52"/>
        <v>#NAME?</v>
      </c>
      <c r="L73" s="228" t="e">
        <f t="shared" ca="1" si="52"/>
        <v>#NAME?</v>
      </c>
      <c r="M73" s="228" t="e">
        <f t="shared" ca="1" si="52"/>
        <v>#NAME?</v>
      </c>
      <c r="N73" s="228" t="e">
        <f t="shared" ca="1" si="52"/>
        <v>#NAME?</v>
      </c>
      <c r="O73" s="228" t="e">
        <f t="shared" ca="1" si="52"/>
        <v>#NAME?</v>
      </c>
      <c r="P73" s="228" t="e">
        <f t="shared" ca="1" si="52"/>
        <v>#NAME?</v>
      </c>
      <c r="Q73" s="228" t="e">
        <f t="shared" ca="1" si="52"/>
        <v>#NAME?</v>
      </c>
      <c r="R73" s="228" t="e">
        <f t="shared" ca="1" si="52"/>
        <v>#NAME?</v>
      </c>
      <c r="S73" s="228" t="e">
        <f t="shared" ca="1" si="52"/>
        <v>#NAME?</v>
      </c>
      <c r="T73" s="228" t="e">
        <f t="shared" ca="1" si="52"/>
        <v>#NAME?</v>
      </c>
      <c r="U73" s="228" t="e">
        <f t="shared" ca="1" si="52"/>
        <v>#NAME?</v>
      </c>
      <c r="V73" s="228" t="e">
        <f t="shared" ca="1" si="52"/>
        <v>#NAME?</v>
      </c>
      <c r="W73" s="228" t="e">
        <f t="shared" ca="1" si="52"/>
        <v>#NAME?</v>
      </c>
      <c r="X73" s="228" t="e">
        <f t="shared" ca="1" si="52"/>
        <v>#NAME?</v>
      </c>
      <c r="Y73" s="228" t="e">
        <f t="shared" ca="1" si="52"/>
        <v>#NAME?</v>
      </c>
      <c r="Z73" s="228" t="e">
        <f t="shared" ca="1" si="52"/>
        <v>#NAME?</v>
      </c>
      <c r="AA73" s="228" t="e">
        <f t="shared" ca="1" si="52"/>
        <v>#NAME?</v>
      </c>
      <c r="AB73" s="228" t="e">
        <f t="shared" ca="1" si="52"/>
        <v>#NAME?</v>
      </c>
      <c r="AC73" s="228" t="e">
        <f t="shared" ca="1" si="52"/>
        <v>#NAME?</v>
      </c>
      <c r="AD73" s="228" t="e">
        <f t="shared" ca="1" si="52"/>
        <v>#NAME?</v>
      </c>
      <c r="AE73" s="228" t="e">
        <f t="shared" ca="1" si="52"/>
        <v>#NAME?</v>
      </c>
      <c r="AF73" s="228" t="e">
        <f t="shared" ca="1" si="52"/>
        <v>#NAME?</v>
      </c>
      <c r="AG73" s="228" t="e">
        <f t="shared" ca="1" si="52"/>
        <v>#NAME?</v>
      </c>
      <c r="AJ73" s="29"/>
      <c r="AK73" s="29"/>
      <c r="AL73" s="29"/>
      <c r="AO73" s="108"/>
      <c r="AU73" s="203"/>
      <c r="AV73" s="203"/>
      <c r="AW73" s="203"/>
    </row>
    <row r="74" spans="2:49" x14ac:dyDescent="0.2">
      <c r="B74" s="227">
        <f t="shared" si="39"/>
        <v>-500</v>
      </c>
      <c r="C74" s="228" t="e">
        <f ca="1">C64</f>
        <v>#NAME?</v>
      </c>
      <c r="D74" s="228" t="e">
        <f t="shared" ref="D74:AG74" ca="1" si="53">D64</f>
        <v>#NAME?</v>
      </c>
      <c r="E74" s="228" t="e">
        <f t="shared" ca="1" si="53"/>
        <v>#NAME?</v>
      </c>
      <c r="F74" s="228" t="e">
        <f t="shared" ca="1" si="53"/>
        <v>#NAME?</v>
      </c>
      <c r="G74" s="228" t="e">
        <f t="shared" ca="1" si="53"/>
        <v>#NAME?</v>
      </c>
      <c r="H74" s="228" t="e">
        <f t="shared" ca="1" si="53"/>
        <v>#NAME?</v>
      </c>
      <c r="I74" s="228" t="e">
        <f t="shared" ca="1" si="53"/>
        <v>#NAME?</v>
      </c>
      <c r="J74" s="228" t="e">
        <f t="shared" ca="1" si="53"/>
        <v>#NAME?</v>
      </c>
      <c r="K74" s="228" t="e">
        <f t="shared" ca="1" si="53"/>
        <v>#NAME?</v>
      </c>
      <c r="L74" s="228" t="e">
        <f t="shared" ca="1" si="53"/>
        <v>#NAME?</v>
      </c>
      <c r="M74" s="228" t="e">
        <f t="shared" ca="1" si="53"/>
        <v>#NAME?</v>
      </c>
      <c r="N74" s="228" t="e">
        <f t="shared" ca="1" si="53"/>
        <v>#NAME?</v>
      </c>
      <c r="O74" s="228" t="e">
        <f t="shared" ca="1" si="53"/>
        <v>#NAME?</v>
      </c>
      <c r="P74" s="228" t="e">
        <f t="shared" ca="1" si="53"/>
        <v>#NAME?</v>
      </c>
      <c r="Q74" s="228" t="e">
        <f t="shared" ca="1" si="53"/>
        <v>#NAME?</v>
      </c>
      <c r="R74" s="228" t="e">
        <f t="shared" ca="1" si="53"/>
        <v>#NAME?</v>
      </c>
      <c r="S74" s="228" t="e">
        <f t="shared" ca="1" si="53"/>
        <v>#NAME?</v>
      </c>
      <c r="T74" s="228" t="e">
        <f t="shared" ca="1" si="53"/>
        <v>#NAME?</v>
      </c>
      <c r="U74" s="228" t="e">
        <f t="shared" ca="1" si="53"/>
        <v>#NAME?</v>
      </c>
      <c r="V74" s="228" t="e">
        <f t="shared" ca="1" si="53"/>
        <v>#NAME?</v>
      </c>
      <c r="W74" s="228" t="e">
        <f t="shared" ca="1" si="53"/>
        <v>#NAME?</v>
      </c>
      <c r="X74" s="228" t="e">
        <f t="shared" ca="1" si="53"/>
        <v>#NAME?</v>
      </c>
      <c r="Y74" s="228" t="e">
        <f t="shared" ca="1" si="53"/>
        <v>#NAME?</v>
      </c>
      <c r="Z74" s="228" t="e">
        <f t="shared" ca="1" si="53"/>
        <v>#NAME?</v>
      </c>
      <c r="AA74" s="228" t="e">
        <f t="shared" ca="1" si="53"/>
        <v>#NAME?</v>
      </c>
      <c r="AB74" s="228" t="e">
        <f t="shared" ca="1" si="53"/>
        <v>#NAME?</v>
      </c>
      <c r="AC74" s="228" t="e">
        <f t="shared" ca="1" si="53"/>
        <v>#NAME?</v>
      </c>
      <c r="AD74" s="228" t="e">
        <f t="shared" ca="1" si="53"/>
        <v>#NAME?</v>
      </c>
      <c r="AE74" s="228" t="e">
        <f t="shared" ca="1" si="53"/>
        <v>#NAME?</v>
      </c>
      <c r="AF74" s="228" t="e">
        <f t="shared" ca="1" si="53"/>
        <v>#NAME?</v>
      </c>
      <c r="AG74" s="228" t="e">
        <f t="shared" ca="1" si="53"/>
        <v>#NAME?</v>
      </c>
      <c r="AJ74" s="29"/>
      <c r="AK74" s="29"/>
      <c r="AL74" s="29"/>
      <c r="AO74" s="108"/>
      <c r="AU74" s="203"/>
      <c r="AV74" s="203"/>
      <c r="AW74" s="203"/>
    </row>
    <row r="75" spans="2:49" x14ac:dyDescent="0.2">
      <c r="B75" s="227">
        <f t="shared" si="39"/>
        <v>-600</v>
      </c>
      <c r="C75" s="228" t="e">
        <f ca="1">C63</f>
        <v>#NAME?</v>
      </c>
      <c r="D75" s="228" t="e">
        <f t="shared" ref="D75:AG75" ca="1" si="54">D63</f>
        <v>#NAME?</v>
      </c>
      <c r="E75" s="228" t="e">
        <f t="shared" ca="1" si="54"/>
        <v>#NAME?</v>
      </c>
      <c r="F75" s="228" t="e">
        <f t="shared" ca="1" si="54"/>
        <v>#NAME?</v>
      </c>
      <c r="G75" s="228" t="e">
        <f t="shared" ca="1" si="54"/>
        <v>#NAME?</v>
      </c>
      <c r="H75" s="228" t="e">
        <f t="shared" ca="1" si="54"/>
        <v>#NAME?</v>
      </c>
      <c r="I75" s="228" t="e">
        <f t="shared" ca="1" si="54"/>
        <v>#NAME?</v>
      </c>
      <c r="J75" s="228" t="e">
        <f t="shared" ca="1" si="54"/>
        <v>#NAME?</v>
      </c>
      <c r="K75" s="228" t="e">
        <f t="shared" ca="1" si="54"/>
        <v>#NAME?</v>
      </c>
      <c r="L75" s="228" t="e">
        <f t="shared" ca="1" si="54"/>
        <v>#NAME?</v>
      </c>
      <c r="M75" s="228" t="e">
        <f t="shared" ca="1" si="54"/>
        <v>#NAME?</v>
      </c>
      <c r="N75" s="228" t="e">
        <f t="shared" ca="1" si="54"/>
        <v>#NAME?</v>
      </c>
      <c r="O75" s="228" t="e">
        <f t="shared" ca="1" si="54"/>
        <v>#NAME?</v>
      </c>
      <c r="P75" s="228" t="e">
        <f t="shared" ca="1" si="54"/>
        <v>#NAME?</v>
      </c>
      <c r="Q75" s="228" t="e">
        <f t="shared" ca="1" si="54"/>
        <v>#NAME?</v>
      </c>
      <c r="R75" s="228" t="e">
        <f t="shared" ca="1" si="54"/>
        <v>#NAME?</v>
      </c>
      <c r="S75" s="228" t="e">
        <f t="shared" ca="1" si="54"/>
        <v>#NAME?</v>
      </c>
      <c r="T75" s="228" t="e">
        <f t="shared" ca="1" si="54"/>
        <v>#NAME?</v>
      </c>
      <c r="U75" s="228" t="e">
        <f t="shared" ca="1" si="54"/>
        <v>#NAME?</v>
      </c>
      <c r="V75" s="228" t="e">
        <f t="shared" ca="1" si="54"/>
        <v>#NAME?</v>
      </c>
      <c r="W75" s="228" t="e">
        <f t="shared" ca="1" si="54"/>
        <v>#NAME?</v>
      </c>
      <c r="X75" s="228" t="e">
        <f t="shared" ca="1" si="54"/>
        <v>#NAME?</v>
      </c>
      <c r="Y75" s="228" t="e">
        <f t="shared" ca="1" si="54"/>
        <v>#NAME?</v>
      </c>
      <c r="Z75" s="228" t="e">
        <f t="shared" ca="1" si="54"/>
        <v>#NAME?</v>
      </c>
      <c r="AA75" s="228" t="e">
        <f t="shared" ca="1" si="54"/>
        <v>#NAME?</v>
      </c>
      <c r="AB75" s="228" t="e">
        <f t="shared" ca="1" si="54"/>
        <v>#NAME?</v>
      </c>
      <c r="AC75" s="228" t="e">
        <f t="shared" ca="1" si="54"/>
        <v>#NAME?</v>
      </c>
      <c r="AD75" s="228" t="e">
        <f t="shared" ca="1" si="54"/>
        <v>#NAME?</v>
      </c>
      <c r="AE75" s="228" t="e">
        <f t="shared" ca="1" si="54"/>
        <v>#NAME?</v>
      </c>
      <c r="AF75" s="228" t="e">
        <f t="shared" ca="1" si="54"/>
        <v>#NAME?</v>
      </c>
      <c r="AG75" s="228" t="e">
        <f t="shared" ca="1" si="54"/>
        <v>#NAME?</v>
      </c>
      <c r="AJ75" s="29"/>
      <c r="AK75" s="29"/>
      <c r="AL75" s="29"/>
      <c r="AO75" s="108"/>
      <c r="AU75" s="203"/>
      <c r="AV75" s="203"/>
      <c r="AW75" s="203"/>
    </row>
    <row r="76" spans="2:49" x14ac:dyDescent="0.2">
      <c r="C76" s="227">
        <f>C20</f>
        <v>50</v>
      </c>
      <c r="D76" s="227">
        <f t="shared" ref="D76:AG76" si="55">D20</f>
        <v>150</v>
      </c>
      <c r="E76" s="227">
        <f t="shared" si="55"/>
        <v>250</v>
      </c>
      <c r="F76" s="227">
        <f t="shared" si="55"/>
        <v>350</v>
      </c>
      <c r="G76" s="227">
        <f t="shared" si="55"/>
        <v>450</v>
      </c>
      <c r="H76" s="227">
        <f t="shared" si="55"/>
        <v>550</v>
      </c>
      <c r="I76" s="227">
        <f t="shared" si="55"/>
        <v>650</v>
      </c>
      <c r="J76" s="227">
        <f t="shared" si="55"/>
        <v>750</v>
      </c>
      <c r="K76" s="227">
        <f t="shared" si="55"/>
        <v>850</v>
      </c>
      <c r="L76" s="227">
        <f t="shared" si="55"/>
        <v>950</v>
      </c>
      <c r="M76" s="227">
        <f t="shared" si="55"/>
        <v>1050</v>
      </c>
      <c r="N76" s="227">
        <f t="shared" si="55"/>
        <v>1150</v>
      </c>
      <c r="O76" s="227">
        <f t="shared" si="55"/>
        <v>1250</v>
      </c>
      <c r="P76" s="227">
        <f t="shared" si="55"/>
        <v>1350</v>
      </c>
      <c r="Q76" s="227">
        <f t="shared" si="55"/>
        <v>1450</v>
      </c>
      <c r="R76" s="227">
        <f t="shared" si="55"/>
        <v>1550</v>
      </c>
      <c r="S76" s="227">
        <f t="shared" si="55"/>
        <v>1650</v>
      </c>
      <c r="T76" s="227">
        <f t="shared" si="55"/>
        <v>1750</v>
      </c>
      <c r="U76" s="227">
        <f t="shared" si="55"/>
        <v>1850</v>
      </c>
      <c r="V76" s="227">
        <f t="shared" si="55"/>
        <v>1950</v>
      </c>
      <c r="W76" s="227">
        <f t="shared" si="55"/>
        <v>2050</v>
      </c>
      <c r="X76" s="227">
        <f t="shared" si="55"/>
        <v>2150</v>
      </c>
      <c r="Y76" s="227">
        <f t="shared" si="55"/>
        <v>2250</v>
      </c>
      <c r="Z76" s="227">
        <f t="shared" si="55"/>
        <v>2350</v>
      </c>
      <c r="AA76" s="227">
        <f t="shared" si="55"/>
        <v>2450</v>
      </c>
      <c r="AB76" s="227">
        <f t="shared" si="55"/>
        <v>2550</v>
      </c>
      <c r="AC76" s="227">
        <f t="shared" si="55"/>
        <v>2650</v>
      </c>
      <c r="AD76" s="227">
        <f t="shared" si="55"/>
        <v>2750</v>
      </c>
      <c r="AE76" s="227">
        <f t="shared" si="55"/>
        <v>2850</v>
      </c>
      <c r="AF76" s="227">
        <f t="shared" si="55"/>
        <v>2950</v>
      </c>
      <c r="AG76" s="227">
        <f t="shared" si="55"/>
        <v>3050</v>
      </c>
      <c r="AJ76" s="29"/>
      <c r="AK76" s="29"/>
      <c r="AL76" s="29"/>
      <c r="AO76" s="108"/>
      <c r="AU76" s="203"/>
      <c r="AV76" s="203"/>
      <c r="AW76" s="203"/>
    </row>
    <row r="77" spans="2:49" x14ac:dyDescent="0.2">
      <c r="T77" s="2"/>
      <c r="U77" s="2"/>
      <c r="V77" s="2"/>
      <c r="W77" s="2"/>
      <c r="X77" s="2"/>
      <c r="Y77" s="2"/>
      <c r="Z77" s="2"/>
      <c r="AA77" s="2"/>
      <c r="AB77" s="2"/>
      <c r="AC77" s="2"/>
      <c r="AJ77" s="29"/>
      <c r="AK77" s="29"/>
      <c r="AL77" s="29"/>
      <c r="AO77" s="108"/>
      <c r="AU77" s="203"/>
      <c r="AV77" s="203"/>
      <c r="AW77" s="203"/>
    </row>
    <row r="78" spans="2:49" x14ac:dyDescent="0.2">
      <c r="T78" s="2"/>
      <c r="U78" s="2"/>
      <c r="V78" s="2"/>
      <c r="W78" s="2"/>
      <c r="X78" s="2"/>
      <c r="Y78" s="2"/>
      <c r="Z78" s="2"/>
      <c r="AA78" s="2"/>
      <c r="AB78" s="2"/>
      <c r="AC78" s="2"/>
      <c r="AJ78" s="29"/>
      <c r="AK78" s="29"/>
      <c r="AL78" s="29"/>
      <c r="AO78" s="108"/>
      <c r="AU78" s="203"/>
      <c r="AV78" s="203"/>
      <c r="AW78" s="203"/>
    </row>
    <row r="79" spans="2:49" x14ac:dyDescent="0.2">
      <c r="T79" s="2"/>
      <c r="U79" s="2"/>
      <c r="V79" s="2"/>
      <c r="W79" s="2"/>
      <c r="X79" s="2"/>
      <c r="Y79" s="2"/>
      <c r="Z79" s="2"/>
      <c r="AA79" s="2"/>
      <c r="AB79" s="2"/>
      <c r="AC79" s="2"/>
      <c r="AJ79" s="29"/>
      <c r="AK79" s="29"/>
      <c r="AL79" s="29"/>
      <c r="AO79" s="108"/>
      <c r="AU79" s="203"/>
      <c r="AV79" s="203"/>
      <c r="AW79" s="203"/>
    </row>
    <row r="80" spans="2:49" x14ac:dyDescent="0.2">
      <c r="T80" s="2"/>
      <c r="U80" s="2"/>
      <c r="V80" s="2"/>
      <c r="W80" s="2"/>
      <c r="X80" s="2"/>
      <c r="Y80" s="2"/>
      <c r="Z80" s="2"/>
      <c r="AA80" s="2"/>
      <c r="AB80" s="2"/>
      <c r="AC80" s="2"/>
      <c r="AJ80" s="29"/>
      <c r="AK80" s="29"/>
      <c r="AL80" s="29"/>
      <c r="AO80" s="108"/>
      <c r="AU80" s="203"/>
      <c r="AV80" s="203"/>
      <c r="AW80" s="203"/>
    </row>
    <row r="81" spans="1:49" x14ac:dyDescent="0.2">
      <c r="T81" s="2"/>
      <c r="U81" s="2"/>
      <c r="V81" s="2"/>
      <c r="W81" s="2"/>
      <c r="X81" s="2"/>
      <c r="Y81" s="2"/>
      <c r="Z81" s="2"/>
      <c r="AA81" s="2"/>
      <c r="AB81" s="2"/>
      <c r="AC81" s="2"/>
      <c r="AJ81" s="29"/>
      <c r="AK81" s="29"/>
      <c r="AL81" s="29"/>
      <c r="AO81" s="108"/>
      <c r="AU81" s="203"/>
      <c r="AV81" s="203"/>
      <c r="AW81" s="203"/>
    </row>
    <row r="82" spans="1:49" x14ac:dyDescent="0.2">
      <c r="T82" s="2"/>
      <c r="U82" s="2"/>
      <c r="V82" s="2"/>
      <c r="W82" s="2"/>
      <c r="X82" s="2"/>
      <c r="Y82" s="2"/>
      <c r="Z82" s="2"/>
      <c r="AA82" s="2"/>
      <c r="AB82" s="2"/>
      <c r="AC82" s="2"/>
      <c r="AJ82" s="29"/>
      <c r="AK82" s="29"/>
      <c r="AL82" s="29"/>
      <c r="AO82" s="108"/>
      <c r="AU82" s="203"/>
      <c r="AV82" s="203"/>
      <c r="AW82" s="203"/>
    </row>
    <row r="83" spans="1:49" x14ac:dyDescent="0.2">
      <c r="B83" s="9" t="s">
        <v>337</v>
      </c>
      <c r="AJ83" s="29"/>
      <c r="AK83" s="29"/>
      <c r="AL83" s="29"/>
      <c r="AU83" s="203" t="e">
        <f t="shared" ref="AU83:AU91" ca="1" si="56">E9</f>
        <v>#NAME?</v>
      </c>
      <c r="AV83" s="203">
        <f t="shared" ref="AV83:AV91" si="57">AV22</f>
        <v>400</v>
      </c>
      <c r="AW83" s="203">
        <f t="shared" ref="AW83:AW91" si="58">E$6</f>
        <v>250</v>
      </c>
    </row>
    <row r="84" spans="1:49" x14ac:dyDescent="0.2">
      <c r="A84" s="27"/>
      <c r="B84" s="225"/>
      <c r="C84" s="227">
        <f>C6</f>
        <v>50</v>
      </c>
      <c r="D84" s="227">
        <f t="shared" ref="D84:AG84" si="59">D6</f>
        <v>150</v>
      </c>
      <c r="E84" s="227">
        <f t="shared" si="59"/>
        <v>250</v>
      </c>
      <c r="F84" s="227">
        <f t="shared" si="59"/>
        <v>350</v>
      </c>
      <c r="G84" s="227">
        <f t="shared" si="59"/>
        <v>450</v>
      </c>
      <c r="H84" s="227">
        <f t="shared" si="59"/>
        <v>550</v>
      </c>
      <c r="I84" s="227">
        <f t="shared" si="59"/>
        <v>650</v>
      </c>
      <c r="J84" s="227">
        <f t="shared" si="59"/>
        <v>750</v>
      </c>
      <c r="K84" s="227">
        <f t="shared" si="59"/>
        <v>850</v>
      </c>
      <c r="L84" s="227">
        <f t="shared" si="59"/>
        <v>950</v>
      </c>
      <c r="M84" s="227">
        <f t="shared" si="59"/>
        <v>1050</v>
      </c>
      <c r="N84" s="227">
        <f t="shared" si="59"/>
        <v>1150</v>
      </c>
      <c r="O84" s="227">
        <f t="shared" si="59"/>
        <v>1250</v>
      </c>
      <c r="P84" s="227">
        <f t="shared" si="59"/>
        <v>1350</v>
      </c>
      <c r="Q84" s="227">
        <f t="shared" si="59"/>
        <v>1450</v>
      </c>
      <c r="R84" s="227">
        <f t="shared" si="59"/>
        <v>1550</v>
      </c>
      <c r="S84" s="227">
        <f t="shared" si="59"/>
        <v>1650</v>
      </c>
      <c r="T84" s="227">
        <f t="shared" si="59"/>
        <v>1750</v>
      </c>
      <c r="U84" s="227">
        <f t="shared" si="59"/>
        <v>1850</v>
      </c>
      <c r="V84" s="227">
        <f t="shared" si="59"/>
        <v>1950</v>
      </c>
      <c r="W84" s="227">
        <f t="shared" si="59"/>
        <v>2050</v>
      </c>
      <c r="X84" s="227">
        <f t="shared" si="59"/>
        <v>2150</v>
      </c>
      <c r="Y84" s="227">
        <f t="shared" si="59"/>
        <v>2250</v>
      </c>
      <c r="Z84" s="227">
        <f t="shared" si="59"/>
        <v>2350</v>
      </c>
      <c r="AA84" s="227">
        <f t="shared" si="59"/>
        <v>2450</v>
      </c>
      <c r="AB84" s="227">
        <f t="shared" si="59"/>
        <v>2550</v>
      </c>
      <c r="AC84" s="227">
        <f t="shared" si="59"/>
        <v>2650</v>
      </c>
      <c r="AD84" s="227">
        <f t="shared" si="59"/>
        <v>2750</v>
      </c>
      <c r="AE84" s="227">
        <f t="shared" si="59"/>
        <v>2850</v>
      </c>
      <c r="AF84" s="227">
        <f t="shared" si="59"/>
        <v>2950</v>
      </c>
      <c r="AG84" s="227">
        <f t="shared" si="59"/>
        <v>3050</v>
      </c>
      <c r="AJ84" s="29"/>
      <c r="AK84" s="29"/>
      <c r="AL84" s="29"/>
      <c r="AU84" s="203" t="e">
        <f t="shared" ca="1" si="56"/>
        <v>#NAME?</v>
      </c>
      <c r="AV84" s="203">
        <f t="shared" si="57"/>
        <v>300</v>
      </c>
      <c r="AW84" s="203">
        <f t="shared" si="58"/>
        <v>250</v>
      </c>
    </row>
    <row r="85" spans="1:49" x14ac:dyDescent="0.2">
      <c r="A85" s="27"/>
      <c r="B85" s="227">
        <f t="shared" ref="B85:B91" si="60">B7</f>
        <v>600</v>
      </c>
      <c r="C85" s="228" t="e">
        <f t="shared" ref="C85:C91" ca="1" si="61">MAX(0.01,Cnapl($AO$7,$AO$8, $AO$9,$AO$10,$AO$11,$AO$12,$AO$13,$AO$14,$AO$15,$AO$16,$AO$17,$AO$18,$AO$19,$AO$20,$AO$21,$AO$22,$AO$23,$AO$24,$AO$25,$AO$26,-C$20, $B7, $I$28,0))</f>
        <v>#NAME?</v>
      </c>
      <c r="D85" s="228" t="e">
        <f t="shared" ref="D85:AG85" ca="1" si="62">MAX(0.01,Cnapl($AO$7,$AO$8, $AO$9,$AO$10,$AO$11,$AO$12,$AO$13,$AO$14,$AO$15,$AO$16,$AO$17,$AO$18,$AO$19,$AO$20,$AO$21,$AO$22,$AO$23,$AO$24,$AO$25,$AO$26,-D$20, $B7, $I$28,0))</f>
        <v>#NAME?</v>
      </c>
      <c r="E85" s="228" t="e">
        <f t="shared" ca="1" si="62"/>
        <v>#NAME?</v>
      </c>
      <c r="F85" s="228" t="e">
        <f t="shared" ca="1" si="62"/>
        <v>#NAME?</v>
      </c>
      <c r="G85" s="228" t="e">
        <f t="shared" ca="1" si="62"/>
        <v>#NAME?</v>
      </c>
      <c r="H85" s="228" t="e">
        <f t="shared" ca="1" si="62"/>
        <v>#NAME?</v>
      </c>
      <c r="I85" s="228" t="e">
        <f t="shared" ca="1" si="62"/>
        <v>#NAME?</v>
      </c>
      <c r="J85" s="228" t="e">
        <f t="shared" ca="1" si="62"/>
        <v>#NAME?</v>
      </c>
      <c r="K85" s="228" t="e">
        <f t="shared" ca="1" si="62"/>
        <v>#NAME?</v>
      </c>
      <c r="L85" s="228" t="e">
        <f t="shared" ca="1" si="62"/>
        <v>#NAME?</v>
      </c>
      <c r="M85" s="228" t="e">
        <f t="shared" ca="1" si="62"/>
        <v>#NAME?</v>
      </c>
      <c r="N85" s="228" t="e">
        <f t="shared" ca="1" si="62"/>
        <v>#NAME?</v>
      </c>
      <c r="O85" s="228" t="e">
        <f t="shared" ca="1" si="62"/>
        <v>#NAME?</v>
      </c>
      <c r="P85" s="228" t="e">
        <f t="shared" ca="1" si="62"/>
        <v>#NAME?</v>
      </c>
      <c r="Q85" s="228" t="e">
        <f t="shared" ca="1" si="62"/>
        <v>#NAME?</v>
      </c>
      <c r="R85" s="228" t="e">
        <f t="shared" ca="1" si="62"/>
        <v>#NAME?</v>
      </c>
      <c r="S85" s="228" t="e">
        <f t="shared" ca="1" si="62"/>
        <v>#NAME?</v>
      </c>
      <c r="T85" s="228" t="e">
        <f t="shared" ca="1" si="62"/>
        <v>#NAME?</v>
      </c>
      <c r="U85" s="228" t="e">
        <f t="shared" ca="1" si="62"/>
        <v>#NAME?</v>
      </c>
      <c r="V85" s="228" t="e">
        <f t="shared" ca="1" si="62"/>
        <v>#NAME?</v>
      </c>
      <c r="W85" s="228" t="e">
        <f t="shared" ca="1" si="62"/>
        <v>#NAME?</v>
      </c>
      <c r="X85" s="228" t="e">
        <f t="shared" ca="1" si="62"/>
        <v>#NAME?</v>
      </c>
      <c r="Y85" s="228" t="e">
        <f t="shared" ca="1" si="62"/>
        <v>#NAME?</v>
      </c>
      <c r="Z85" s="228" t="e">
        <f t="shared" ca="1" si="62"/>
        <v>#NAME?</v>
      </c>
      <c r="AA85" s="228" t="e">
        <f t="shared" ca="1" si="62"/>
        <v>#NAME?</v>
      </c>
      <c r="AB85" s="228" t="e">
        <f t="shared" ca="1" si="62"/>
        <v>#NAME?</v>
      </c>
      <c r="AC85" s="228" t="e">
        <f t="shared" ca="1" si="62"/>
        <v>#NAME?</v>
      </c>
      <c r="AD85" s="228" t="e">
        <f t="shared" ca="1" si="62"/>
        <v>#NAME?</v>
      </c>
      <c r="AE85" s="228" t="e">
        <f t="shared" ca="1" si="62"/>
        <v>#NAME?</v>
      </c>
      <c r="AF85" s="228" t="e">
        <f t="shared" ca="1" si="62"/>
        <v>#NAME?</v>
      </c>
      <c r="AG85" s="228" t="e">
        <f t="shared" ca="1" si="62"/>
        <v>#NAME?</v>
      </c>
      <c r="AJ85" s="29"/>
      <c r="AK85" s="29"/>
      <c r="AL85" s="29"/>
      <c r="AU85" s="203" t="e">
        <f t="shared" ca="1" si="56"/>
        <v>#NAME?</v>
      </c>
      <c r="AV85" s="203">
        <f t="shared" si="57"/>
        <v>200</v>
      </c>
      <c r="AW85" s="203">
        <f t="shared" si="58"/>
        <v>250</v>
      </c>
    </row>
    <row r="86" spans="1:49" x14ac:dyDescent="0.2">
      <c r="A86" s="27"/>
      <c r="B86" s="227">
        <f t="shared" si="60"/>
        <v>500</v>
      </c>
      <c r="C86" s="228" t="e">
        <f t="shared" ca="1" si="61"/>
        <v>#NAME?</v>
      </c>
      <c r="D86" s="228" t="e">
        <f t="shared" ref="D86:AG86" ca="1" si="63">MAX(0.01,Cnapl($AO$7,$AO$8, $AO$9,$AO$10,$AO$11,$AO$12,$AO$13,$AO$14,$AO$15,$AO$16,$AO$17,$AO$18,$AO$19,$AO$20,$AO$21,$AO$22,$AO$23,$AO$24,$AO$25,$AO$26,-D$20, $B8, $I$28,0))</f>
        <v>#NAME?</v>
      </c>
      <c r="E86" s="228" t="e">
        <f t="shared" ca="1" si="63"/>
        <v>#NAME?</v>
      </c>
      <c r="F86" s="228" t="e">
        <f t="shared" ca="1" si="63"/>
        <v>#NAME?</v>
      </c>
      <c r="G86" s="228" t="e">
        <f t="shared" ca="1" si="63"/>
        <v>#NAME?</v>
      </c>
      <c r="H86" s="228" t="e">
        <f t="shared" ca="1" si="63"/>
        <v>#NAME?</v>
      </c>
      <c r="I86" s="228" t="e">
        <f t="shared" ca="1" si="63"/>
        <v>#NAME?</v>
      </c>
      <c r="J86" s="228" t="e">
        <f t="shared" ca="1" si="63"/>
        <v>#NAME?</v>
      </c>
      <c r="K86" s="228" t="e">
        <f t="shared" ca="1" si="63"/>
        <v>#NAME?</v>
      </c>
      <c r="L86" s="228" t="e">
        <f t="shared" ca="1" si="63"/>
        <v>#NAME?</v>
      </c>
      <c r="M86" s="228" t="e">
        <f t="shared" ca="1" si="63"/>
        <v>#NAME?</v>
      </c>
      <c r="N86" s="228" t="e">
        <f t="shared" ca="1" si="63"/>
        <v>#NAME?</v>
      </c>
      <c r="O86" s="228" t="e">
        <f t="shared" ca="1" si="63"/>
        <v>#NAME?</v>
      </c>
      <c r="P86" s="228" t="e">
        <f t="shared" ca="1" si="63"/>
        <v>#NAME?</v>
      </c>
      <c r="Q86" s="228" t="e">
        <f t="shared" ca="1" si="63"/>
        <v>#NAME?</v>
      </c>
      <c r="R86" s="228" t="e">
        <f t="shared" ca="1" si="63"/>
        <v>#NAME?</v>
      </c>
      <c r="S86" s="228" t="e">
        <f t="shared" ca="1" si="63"/>
        <v>#NAME?</v>
      </c>
      <c r="T86" s="228" t="e">
        <f t="shared" ca="1" si="63"/>
        <v>#NAME?</v>
      </c>
      <c r="U86" s="228" t="e">
        <f t="shared" ca="1" si="63"/>
        <v>#NAME?</v>
      </c>
      <c r="V86" s="228" t="e">
        <f t="shared" ca="1" si="63"/>
        <v>#NAME?</v>
      </c>
      <c r="W86" s="228" t="e">
        <f t="shared" ca="1" si="63"/>
        <v>#NAME?</v>
      </c>
      <c r="X86" s="228" t="e">
        <f t="shared" ca="1" si="63"/>
        <v>#NAME?</v>
      </c>
      <c r="Y86" s="228" t="e">
        <f t="shared" ca="1" si="63"/>
        <v>#NAME?</v>
      </c>
      <c r="Z86" s="228" t="e">
        <f t="shared" ca="1" si="63"/>
        <v>#NAME?</v>
      </c>
      <c r="AA86" s="228" t="e">
        <f t="shared" ca="1" si="63"/>
        <v>#NAME?</v>
      </c>
      <c r="AB86" s="228" t="e">
        <f t="shared" ca="1" si="63"/>
        <v>#NAME?</v>
      </c>
      <c r="AC86" s="228" t="e">
        <f t="shared" ca="1" si="63"/>
        <v>#NAME?</v>
      </c>
      <c r="AD86" s="228" t="e">
        <f t="shared" ca="1" si="63"/>
        <v>#NAME?</v>
      </c>
      <c r="AE86" s="228" t="e">
        <f t="shared" ca="1" si="63"/>
        <v>#NAME?</v>
      </c>
      <c r="AF86" s="228" t="e">
        <f t="shared" ca="1" si="63"/>
        <v>#NAME?</v>
      </c>
      <c r="AG86" s="228" t="e">
        <f t="shared" ca="1" si="63"/>
        <v>#NAME?</v>
      </c>
      <c r="AJ86" s="29"/>
      <c r="AK86" s="29"/>
      <c r="AL86" s="29"/>
      <c r="AU86" s="203" t="e">
        <f t="shared" ca="1" si="56"/>
        <v>#NAME?</v>
      </c>
      <c r="AV86" s="203">
        <f t="shared" si="57"/>
        <v>100</v>
      </c>
      <c r="AW86" s="203">
        <f t="shared" si="58"/>
        <v>250</v>
      </c>
    </row>
    <row r="87" spans="1:49" x14ac:dyDescent="0.2">
      <c r="A87" s="27"/>
      <c r="B87" s="227">
        <f t="shared" si="60"/>
        <v>400</v>
      </c>
      <c r="C87" s="228" t="e">
        <f t="shared" ca="1" si="61"/>
        <v>#NAME?</v>
      </c>
      <c r="D87" s="228" t="e">
        <f t="shared" ref="D87:AG87" ca="1" si="64">MAX(0.01,Cnapl($AO$7,$AO$8, $AO$9,$AO$10,$AO$11,$AO$12,$AO$13,$AO$14,$AO$15,$AO$16,$AO$17,$AO$18,$AO$19,$AO$20,$AO$21,$AO$22,$AO$23,$AO$24,$AO$25,$AO$26,-D$20, $B9, $I$28,0))</f>
        <v>#NAME?</v>
      </c>
      <c r="E87" s="228" t="e">
        <f t="shared" ca="1" si="64"/>
        <v>#NAME?</v>
      </c>
      <c r="F87" s="228" t="e">
        <f t="shared" ca="1" si="64"/>
        <v>#NAME?</v>
      </c>
      <c r="G87" s="228" t="e">
        <f t="shared" ca="1" si="64"/>
        <v>#NAME?</v>
      </c>
      <c r="H87" s="228" t="e">
        <f t="shared" ca="1" si="64"/>
        <v>#NAME?</v>
      </c>
      <c r="I87" s="228" t="e">
        <f t="shared" ca="1" si="64"/>
        <v>#NAME?</v>
      </c>
      <c r="J87" s="228" t="e">
        <f t="shared" ca="1" si="64"/>
        <v>#NAME?</v>
      </c>
      <c r="K87" s="228" t="e">
        <f t="shared" ca="1" si="64"/>
        <v>#NAME?</v>
      </c>
      <c r="L87" s="228" t="e">
        <f t="shared" ca="1" si="64"/>
        <v>#NAME?</v>
      </c>
      <c r="M87" s="228" t="e">
        <f t="shared" ca="1" si="64"/>
        <v>#NAME?</v>
      </c>
      <c r="N87" s="228" t="e">
        <f t="shared" ca="1" si="64"/>
        <v>#NAME?</v>
      </c>
      <c r="O87" s="228" t="e">
        <f t="shared" ca="1" si="64"/>
        <v>#NAME?</v>
      </c>
      <c r="P87" s="228" t="e">
        <f t="shared" ca="1" si="64"/>
        <v>#NAME?</v>
      </c>
      <c r="Q87" s="228" t="e">
        <f t="shared" ca="1" si="64"/>
        <v>#NAME?</v>
      </c>
      <c r="R87" s="228" t="e">
        <f t="shared" ca="1" si="64"/>
        <v>#NAME?</v>
      </c>
      <c r="S87" s="228" t="e">
        <f t="shared" ca="1" si="64"/>
        <v>#NAME?</v>
      </c>
      <c r="T87" s="228" t="e">
        <f t="shared" ca="1" si="64"/>
        <v>#NAME?</v>
      </c>
      <c r="U87" s="228" t="e">
        <f t="shared" ca="1" si="64"/>
        <v>#NAME?</v>
      </c>
      <c r="V87" s="228" t="e">
        <f t="shared" ca="1" si="64"/>
        <v>#NAME?</v>
      </c>
      <c r="W87" s="228" t="e">
        <f t="shared" ca="1" si="64"/>
        <v>#NAME?</v>
      </c>
      <c r="X87" s="228" t="e">
        <f t="shared" ca="1" si="64"/>
        <v>#NAME?</v>
      </c>
      <c r="Y87" s="228" t="e">
        <f t="shared" ca="1" si="64"/>
        <v>#NAME?</v>
      </c>
      <c r="Z87" s="228" t="e">
        <f t="shared" ca="1" si="64"/>
        <v>#NAME?</v>
      </c>
      <c r="AA87" s="228" t="e">
        <f t="shared" ca="1" si="64"/>
        <v>#NAME?</v>
      </c>
      <c r="AB87" s="228" t="e">
        <f t="shared" ca="1" si="64"/>
        <v>#NAME?</v>
      </c>
      <c r="AC87" s="228" t="e">
        <f t="shared" ca="1" si="64"/>
        <v>#NAME?</v>
      </c>
      <c r="AD87" s="228" t="e">
        <f t="shared" ca="1" si="64"/>
        <v>#NAME?</v>
      </c>
      <c r="AE87" s="228" t="e">
        <f t="shared" ca="1" si="64"/>
        <v>#NAME?</v>
      </c>
      <c r="AF87" s="228" t="e">
        <f t="shared" ca="1" si="64"/>
        <v>#NAME?</v>
      </c>
      <c r="AG87" s="228" t="e">
        <f t="shared" ca="1" si="64"/>
        <v>#NAME?</v>
      </c>
      <c r="AJ87" s="29"/>
      <c r="AK87" s="29"/>
      <c r="AL87" s="29"/>
      <c r="AU87" s="203" t="e">
        <f t="shared" ca="1" si="56"/>
        <v>#NAME?</v>
      </c>
      <c r="AV87" s="203">
        <f t="shared" si="57"/>
        <v>0</v>
      </c>
      <c r="AW87" s="203">
        <f t="shared" si="58"/>
        <v>250</v>
      </c>
    </row>
    <row r="88" spans="1:49" x14ac:dyDescent="0.2">
      <c r="A88" s="27"/>
      <c r="B88" s="227">
        <f t="shared" si="60"/>
        <v>300</v>
      </c>
      <c r="C88" s="228" t="e">
        <f t="shared" ca="1" si="61"/>
        <v>#NAME?</v>
      </c>
      <c r="D88" s="228" t="e">
        <f t="shared" ref="D88:AG88" ca="1" si="65">MAX(0.01,Cnapl($AO$7,$AO$8, $AO$9,$AO$10,$AO$11,$AO$12,$AO$13,$AO$14,$AO$15,$AO$16,$AO$17,$AO$18,$AO$19,$AO$20,$AO$21,$AO$22,$AO$23,$AO$24,$AO$25,$AO$26,-D$20, $B10, $I$28,0))</f>
        <v>#NAME?</v>
      </c>
      <c r="E88" s="228" t="e">
        <f t="shared" ca="1" si="65"/>
        <v>#NAME?</v>
      </c>
      <c r="F88" s="228" t="e">
        <f t="shared" ca="1" si="65"/>
        <v>#NAME?</v>
      </c>
      <c r="G88" s="228" t="e">
        <f t="shared" ca="1" si="65"/>
        <v>#NAME?</v>
      </c>
      <c r="H88" s="228" t="e">
        <f t="shared" ca="1" si="65"/>
        <v>#NAME?</v>
      </c>
      <c r="I88" s="228" t="e">
        <f t="shared" ca="1" si="65"/>
        <v>#NAME?</v>
      </c>
      <c r="J88" s="228" t="e">
        <f t="shared" ca="1" si="65"/>
        <v>#NAME?</v>
      </c>
      <c r="K88" s="228" t="e">
        <f t="shared" ca="1" si="65"/>
        <v>#NAME?</v>
      </c>
      <c r="L88" s="228" t="e">
        <f t="shared" ca="1" si="65"/>
        <v>#NAME?</v>
      </c>
      <c r="M88" s="228" t="e">
        <f t="shared" ca="1" si="65"/>
        <v>#NAME?</v>
      </c>
      <c r="N88" s="228" t="e">
        <f t="shared" ca="1" si="65"/>
        <v>#NAME?</v>
      </c>
      <c r="O88" s="228" t="e">
        <f t="shared" ca="1" si="65"/>
        <v>#NAME?</v>
      </c>
      <c r="P88" s="228" t="e">
        <f t="shared" ca="1" si="65"/>
        <v>#NAME?</v>
      </c>
      <c r="Q88" s="228" t="e">
        <f t="shared" ca="1" si="65"/>
        <v>#NAME?</v>
      </c>
      <c r="R88" s="228" t="e">
        <f t="shared" ca="1" si="65"/>
        <v>#NAME?</v>
      </c>
      <c r="S88" s="228" t="e">
        <f t="shared" ca="1" si="65"/>
        <v>#NAME?</v>
      </c>
      <c r="T88" s="228" t="e">
        <f t="shared" ca="1" si="65"/>
        <v>#NAME?</v>
      </c>
      <c r="U88" s="228" t="e">
        <f t="shared" ca="1" si="65"/>
        <v>#NAME?</v>
      </c>
      <c r="V88" s="228" t="e">
        <f t="shared" ca="1" si="65"/>
        <v>#NAME?</v>
      </c>
      <c r="W88" s="228" t="e">
        <f t="shared" ca="1" si="65"/>
        <v>#NAME?</v>
      </c>
      <c r="X88" s="228" t="e">
        <f t="shared" ca="1" si="65"/>
        <v>#NAME?</v>
      </c>
      <c r="Y88" s="228" t="e">
        <f t="shared" ca="1" si="65"/>
        <v>#NAME?</v>
      </c>
      <c r="Z88" s="228" t="e">
        <f t="shared" ca="1" si="65"/>
        <v>#NAME?</v>
      </c>
      <c r="AA88" s="228" t="e">
        <f t="shared" ca="1" si="65"/>
        <v>#NAME?</v>
      </c>
      <c r="AB88" s="228" t="e">
        <f t="shared" ca="1" si="65"/>
        <v>#NAME?</v>
      </c>
      <c r="AC88" s="228" t="e">
        <f t="shared" ca="1" si="65"/>
        <v>#NAME?</v>
      </c>
      <c r="AD88" s="228" t="e">
        <f t="shared" ca="1" si="65"/>
        <v>#NAME?</v>
      </c>
      <c r="AE88" s="228" t="e">
        <f t="shared" ca="1" si="65"/>
        <v>#NAME?</v>
      </c>
      <c r="AF88" s="228" t="e">
        <f t="shared" ca="1" si="65"/>
        <v>#NAME?</v>
      </c>
      <c r="AG88" s="228" t="e">
        <f t="shared" ca="1" si="65"/>
        <v>#NAME?</v>
      </c>
      <c r="AJ88" s="29"/>
      <c r="AK88" s="29"/>
      <c r="AL88" s="29"/>
      <c r="AU88" s="203" t="e">
        <f t="shared" ca="1" si="56"/>
        <v>#NAME?</v>
      </c>
      <c r="AV88" s="203">
        <f t="shared" si="57"/>
        <v>-100</v>
      </c>
      <c r="AW88" s="203">
        <f t="shared" si="58"/>
        <v>250</v>
      </c>
    </row>
    <row r="89" spans="1:49" x14ac:dyDescent="0.2">
      <c r="A89" s="27"/>
      <c r="B89" s="227">
        <f t="shared" si="60"/>
        <v>200</v>
      </c>
      <c r="C89" s="228" t="e">
        <f t="shared" ca="1" si="61"/>
        <v>#NAME?</v>
      </c>
      <c r="D89" s="228" t="e">
        <f t="shared" ref="D89:AG89" ca="1" si="66">MAX(0.01,Cnapl($AO$7,$AO$8, $AO$9,$AO$10,$AO$11,$AO$12,$AO$13,$AO$14,$AO$15,$AO$16,$AO$17,$AO$18,$AO$19,$AO$20,$AO$21,$AO$22,$AO$23,$AO$24,$AO$25,$AO$26,-D$20, $B11, $I$28,0))</f>
        <v>#NAME?</v>
      </c>
      <c r="E89" s="228" t="e">
        <f t="shared" ca="1" si="66"/>
        <v>#NAME?</v>
      </c>
      <c r="F89" s="228" t="e">
        <f t="shared" ca="1" si="66"/>
        <v>#NAME?</v>
      </c>
      <c r="G89" s="228" t="e">
        <f t="shared" ca="1" si="66"/>
        <v>#NAME?</v>
      </c>
      <c r="H89" s="228" t="e">
        <f t="shared" ca="1" si="66"/>
        <v>#NAME?</v>
      </c>
      <c r="I89" s="228" t="e">
        <f t="shared" ca="1" si="66"/>
        <v>#NAME?</v>
      </c>
      <c r="J89" s="228" t="e">
        <f t="shared" ca="1" si="66"/>
        <v>#NAME?</v>
      </c>
      <c r="K89" s="228" t="e">
        <f t="shared" ca="1" si="66"/>
        <v>#NAME?</v>
      </c>
      <c r="L89" s="228" t="e">
        <f t="shared" ca="1" si="66"/>
        <v>#NAME?</v>
      </c>
      <c r="M89" s="228" t="e">
        <f t="shared" ca="1" si="66"/>
        <v>#NAME?</v>
      </c>
      <c r="N89" s="228" t="e">
        <f t="shared" ca="1" si="66"/>
        <v>#NAME?</v>
      </c>
      <c r="O89" s="228" t="e">
        <f t="shared" ca="1" si="66"/>
        <v>#NAME?</v>
      </c>
      <c r="P89" s="228" t="e">
        <f t="shared" ca="1" si="66"/>
        <v>#NAME?</v>
      </c>
      <c r="Q89" s="228" t="e">
        <f t="shared" ca="1" si="66"/>
        <v>#NAME?</v>
      </c>
      <c r="R89" s="228" t="e">
        <f t="shared" ca="1" si="66"/>
        <v>#NAME?</v>
      </c>
      <c r="S89" s="228" t="e">
        <f t="shared" ca="1" si="66"/>
        <v>#NAME?</v>
      </c>
      <c r="T89" s="228" t="e">
        <f t="shared" ca="1" si="66"/>
        <v>#NAME?</v>
      </c>
      <c r="U89" s="228" t="e">
        <f t="shared" ca="1" si="66"/>
        <v>#NAME?</v>
      </c>
      <c r="V89" s="228" t="e">
        <f t="shared" ca="1" si="66"/>
        <v>#NAME?</v>
      </c>
      <c r="W89" s="228" t="e">
        <f t="shared" ca="1" si="66"/>
        <v>#NAME?</v>
      </c>
      <c r="X89" s="228" t="e">
        <f t="shared" ca="1" si="66"/>
        <v>#NAME?</v>
      </c>
      <c r="Y89" s="228" t="e">
        <f t="shared" ca="1" si="66"/>
        <v>#NAME?</v>
      </c>
      <c r="Z89" s="228" t="e">
        <f t="shared" ca="1" si="66"/>
        <v>#NAME?</v>
      </c>
      <c r="AA89" s="228" t="e">
        <f t="shared" ca="1" si="66"/>
        <v>#NAME?</v>
      </c>
      <c r="AB89" s="228" t="e">
        <f t="shared" ca="1" si="66"/>
        <v>#NAME?</v>
      </c>
      <c r="AC89" s="228" t="e">
        <f t="shared" ca="1" si="66"/>
        <v>#NAME?</v>
      </c>
      <c r="AD89" s="228" t="e">
        <f t="shared" ca="1" si="66"/>
        <v>#NAME?</v>
      </c>
      <c r="AE89" s="228" t="e">
        <f t="shared" ca="1" si="66"/>
        <v>#NAME?</v>
      </c>
      <c r="AF89" s="228" t="e">
        <f t="shared" ca="1" si="66"/>
        <v>#NAME?</v>
      </c>
      <c r="AG89" s="228" t="e">
        <f t="shared" ca="1" si="66"/>
        <v>#NAME?</v>
      </c>
      <c r="AJ89" s="29"/>
      <c r="AK89" s="29"/>
      <c r="AL89" s="29"/>
      <c r="AU89" s="203" t="e">
        <f t="shared" ca="1" si="56"/>
        <v>#NAME?</v>
      </c>
      <c r="AV89" s="203">
        <f t="shared" si="57"/>
        <v>-200</v>
      </c>
      <c r="AW89" s="203">
        <f t="shared" si="58"/>
        <v>250</v>
      </c>
    </row>
    <row r="90" spans="1:49" x14ac:dyDescent="0.2">
      <c r="A90" s="27"/>
      <c r="B90" s="227">
        <f t="shared" si="60"/>
        <v>100</v>
      </c>
      <c r="C90" s="228" t="e">
        <f t="shared" ca="1" si="61"/>
        <v>#NAME?</v>
      </c>
      <c r="D90" s="228" t="e">
        <f t="shared" ref="D90:AG90" ca="1" si="67">MAX(0.01,Cnapl($AO$7,$AO$8, $AO$9,$AO$10,$AO$11,$AO$12,$AO$13,$AO$14,$AO$15,$AO$16,$AO$17,$AO$18,$AO$19,$AO$20,$AO$21,$AO$22,$AO$23,$AO$24,$AO$25,$AO$26,-D$20, $B12, $I$28,0))</f>
        <v>#NAME?</v>
      </c>
      <c r="E90" s="228" t="e">
        <f t="shared" ca="1" si="67"/>
        <v>#NAME?</v>
      </c>
      <c r="F90" s="228" t="e">
        <f t="shared" ca="1" si="67"/>
        <v>#NAME?</v>
      </c>
      <c r="G90" s="228" t="e">
        <f t="shared" ca="1" si="67"/>
        <v>#NAME?</v>
      </c>
      <c r="H90" s="228" t="e">
        <f t="shared" ca="1" si="67"/>
        <v>#NAME?</v>
      </c>
      <c r="I90" s="228" t="e">
        <f t="shared" ca="1" si="67"/>
        <v>#NAME?</v>
      </c>
      <c r="J90" s="228" t="e">
        <f t="shared" ca="1" si="67"/>
        <v>#NAME?</v>
      </c>
      <c r="K90" s="228" t="e">
        <f t="shared" ca="1" si="67"/>
        <v>#NAME?</v>
      </c>
      <c r="L90" s="228" t="e">
        <f t="shared" ca="1" si="67"/>
        <v>#NAME?</v>
      </c>
      <c r="M90" s="228" t="e">
        <f t="shared" ca="1" si="67"/>
        <v>#NAME?</v>
      </c>
      <c r="N90" s="228" t="e">
        <f t="shared" ca="1" si="67"/>
        <v>#NAME?</v>
      </c>
      <c r="O90" s="228" t="e">
        <f t="shared" ca="1" si="67"/>
        <v>#NAME?</v>
      </c>
      <c r="P90" s="228" t="e">
        <f t="shared" ca="1" si="67"/>
        <v>#NAME?</v>
      </c>
      <c r="Q90" s="228" t="e">
        <f t="shared" ca="1" si="67"/>
        <v>#NAME?</v>
      </c>
      <c r="R90" s="228" t="e">
        <f t="shared" ca="1" si="67"/>
        <v>#NAME?</v>
      </c>
      <c r="S90" s="228" t="e">
        <f t="shared" ca="1" si="67"/>
        <v>#NAME?</v>
      </c>
      <c r="T90" s="228" t="e">
        <f t="shared" ca="1" si="67"/>
        <v>#NAME?</v>
      </c>
      <c r="U90" s="228" t="e">
        <f t="shared" ca="1" si="67"/>
        <v>#NAME?</v>
      </c>
      <c r="V90" s="228" t="e">
        <f t="shared" ca="1" si="67"/>
        <v>#NAME?</v>
      </c>
      <c r="W90" s="228" t="e">
        <f t="shared" ca="1" si="67"/>
        <v>#NAME?</v>
      </c>
      <c r="X90" s="228" t="e">
        <f t="shared" ca="1" si="67"/>
        <v>#NAME?</v>
      </c>
      <c r="Y90" s="228" t="e">
        <f t="shared" ca="1" si="67"/>
        <v>#NAME?</v>
      </c>
      <c r="Z90" s="228" t="e">
        <f t="shared" ca="1" si="67"/>
        <v>#NAME?</v>
      </c>
      <c r="AA90" s="228" t="e">
        <f t="shared" ca="1" si="67"/>
        <v>#NAME?</v>
      </c>
      <c r="AB90" s="228" t="e">
        <f t="shared" ca="1" si="67"/>
        <v>#NAME?</v>
      </c>
      <c r="AC90" s="228" t="e">
        <f t="shared" ca="1" si="67"/>
        <v>#NAME?</v>
      </c>
      <c r="AD90" s="228" t="e">
        <f t="shared" ca="1" si="67"/>
        <v>#NAME?</v>
      </c>
      <c r="AE90" s="228" t="e">
        <f t="shared" ca="1" si="67"/>
        <v>#NAME?</v>
      </c>
      <c r="AF90" s="228" t="e">
        <f t="shared" ca="1" si="67"/>
        <v>#NAME?</v>
      </c>
      <c r="AG90" s="228" t="e">
        <f t="shared" ca="1" si="67"/>
        <v>#NAME?</v>
      </c>
      <c r="AJ90" s="29"/>
      <c r="AK90" s="29"/>
      <c r="AL90" s="29"/>
      <c r="AU90" s="203" t="e">
        <f t="shared" ca="1" si="56"/>
        <v>#NAME?</v>
      </c>
      <c r="AV90" s="203">
        <f t="shared" si="57"/>
        <v>-300</v>
      </c>
      <c r="AW90" s="203">
        <f t="shared" si="58"/>
        <v>250</v>
      </c>
    </row>
    <row r="91" spans="1:49" x14ac:dyDescent="0.2">
      <c r="A91" s="27"/>
      <c r="B91" s="227">
        <f t="shared" si="60"/>
        <v>0</v>
      </c>
      <c r="C91" s="228" t="e">
        <f t="shared" ca="1" si="61"/>
        <v>#NAME?</v>
      </c>
      <c r="D91" s="228" t="e">
        <f t="shared" ref="D91:AG91" ca="1" si="68">MAX(0.01,Cnapl($AO$7,$AO$8, $AO$9,$AO$10,$AO$11,$AO$12,$AO$13,$AO$14,$AO$15,$AO$16,$AO$17,$AO$18,$AO$19,$AO$20,$AO$21,$AO$22,$AO$23,$AO$24,$AO$25,$AO$26,-D$20, $B13, $I$28,0))</f>
        <v>#NAME?</v>
      </c>
      <c r="E91" s="228" t="e">
        <f t="shared" ca="1" si="68"/>
        <v>#NAME?</v>
      </c>
      <c r="F91" s="228" t="e">
        <f t="shared" ca="1" si="68"/>
        <v>#NAME?</v>
      </c>
      <c r="G91" s="228" t="e">
        <f t="shared" ca="1" si="68"/>
        <v>#NAME?</v>
      </c>
      <c r="H91" s="228" t="e">
        <f t="shared" ca="1" si="68"/>
        <v>#NAME?</v>
      </c>
      <c r="I91" s="228" t="e">
        <f t="shared" ca="1" si="68"/>
        <v>#NAME?</v>
      </c>
      <c r="J91" s="228" t="e">
        <f t="shared" ca="1" si="68"/>
        <v>#NAME?</v>
      </c>
      <c r="K91" s="228" t="e">
        <f t="shared" ca="1" si="68"/>
        <v>#NAME?</v>
      </c>
      <c r="L91" s="228" t="e">
        <f t="shared" ca="1" si="68"/>
        <v>#NAME?</v>
      </c>
      <c r="M91" s="228" t="e">
        <f t="shared" ca="1" si="68"/>
        <v>#NAME?</v>
      </c>
      <c r="N91" s="228" t="e">
        <f t="shared" ca="1" si="68"/>
        <v>#NAME?</v>
      </c>
      <c r="O91" s="228" t="e">
        <f t="shared" ca="1" si="68"/>
        <v>#NAME?</v>
      </c>
      <c r="P91" s="228" t="e">
        <f t="shared" ca="1" si="68"/>
        <v>#NAME?</v>
      </c>
      <c r="Q91" s="228" t="e">
        <f t="shared" ca="1" si="68"/>
        <v>#NAME?</v>
      </c>
      <c r="R91" s="228" t="e">
        <f t="shared" ca="1" si="68"/>
        <v>#NAME?</v>
      </c>
      <c r="S91" s="228" t="e">
        <f t="shared" ca="1" si="68"/>
        <v>#NAME?</v>
      </c>
      <c r="T91" s="228" t="e">
        <f t="shared" ca="1" si="68"/>
        <v>#NAME?</v>
      </c>
      <c r="U91" s="228" t="e">
        <f t="shared" ca="1" si="68"/>
        <v>#NAME?</v>
      </c>
      <c r="V91" s="228" t="e">
        <f t="shared" ca="1" si="68"/>
        <v>#NAME?</v>
      </c>
      <c r="W91" s="228" t="e">
        <f t="shared" ca="1" si="68"/>
        <v>#NAME?</v>
      </c>
      <c r="X91" s="228" t="e">
        <f t="shared" ca="1" si="68"/>
        <v>#NAME?</v>
      </c>
      <c r="Y91" s="228" t="e">
        <f t="shared" ca="1" si="68"/>
        <v>#NAME?</v>
      </c>
      <c r="Z91" s="228" t="e">
        <f t="shared" ca="1" si="68"/>
        <v>#NAME?</v>
      </c>
      <c r="AA91" s="228" t="e">
        <f t="shared" ca="1" si="68"/>
        <v>#NAME?</v>
      </c>
      <c r="AB91" s="228" t="e">
        <f t="shared" ca="1" si="68"/>
        <v>#NAME?</v>
      </c>
      <c r="AC91" s="228" t="e">
        <f t="shared" ca="1" si="68"/>
        <v>#NAME?</v>
      </c>
      <c r="AD91" s="228" t="e">
        <f t="shared" ca="1" si="68"/>
        <v>#NAME?</v>
      </c>
      <c r="AE91" s="228" t="e">
        <f t="shared" ca="1" si="68"/>
        <v>#NAME?</v>
      </c>
      <c r="AF91" s="228" t="e">
        <f t="shared" ca="1" si="68"/>
        <v>#NAME?</v>
      </c>
      <c r="AG91" s="228" t="e">
        <f t="shared" ca="1" si="68"/>
        <v>#NAME?</v>
      </c>
      <c r="AJ91" s="29"/>
      <c r="AK91" s="29"/>
      <c r="AL91" s="29"/>
      <c r="AU91" s="203" t="e">
        <f t="shared" ca="1" si="56"/>
        <v>#NAME?</v>
      </c>
      <c r="AV91" s="203">
        <f t="shared" si="57"/>
        <v>-400</v>
      </c>
      <c r="AW91" s="203">
        <f t="shared" si="58"/>
        <v>250</v>
      </c>
    </row>
    <row r="92" spans="1:49" x14ac:dyDescent="0.2">
      <c r="A92" s="27"/>
      <c r="B92" s="227"/>
      <c r="C92" s="228"/>
      <c r="D92" s="228"/>
      <c r="E92" s="228"/>
      <c r="F92" s="228"/>
      <c r="G92" s="228"/>
      <c r="H92" s="228"/>
      <c r="I92" s="228"/>
      <c r="J92" s="228"/>
      <c r="K92" s="228"/>
      <c r="L92" s="228"/>
      <c r="M92" s="228"/>
      <c r="N92" s="228"/>
      <c r="O92" s="228"/>
      <c r="P92" s="228"/>
      <c r="Q92" s="228"/>
      <c r="R92" s="228"/>
      <c r="S92" s="228"/>
      <c r="T92" s="228"/>
      <c r="U92" s="228"/>
      <c r="V92" s="228"/>
      <c r="W92" s="228"/>
      <c r="X92" s="228"/>
      <c r="Y92" s="228"/>
      <c r="Z92" s="228"/>
      <c r="AA92" s="228"/>
      <c r="AB92" s="228"/>
      <c r="AC92" s="228"/>
      <c r="AD92" s="228"/>
      <c r="AE92" s="228"/>
      <c r="AF92" s="228"/>
      <c r="AG92" s="228"/>
      <c r="AJ92" s="29"/>
      <c r="AK92" s="29"/>
      <c r="AL92" s="29"/>
      <c r="AU92" s="203"/>
      <c r="AV92" s="203"/>
      <c r="AW92" s="203"/>
    </row>
    <row r="93" spans="1:49" x14ac:dyDescent="0.2">
      <c r="A93" s="27"/>
      <c r="B93" s="227"/>
      <c r="C93" s="228"/>
      <c r="D93" s="228"/>
      <c r="E93" s="228"/>
      <c r="F93" s="228"/>
      <c r="G93" s="228"/>
      <c r="H93" s="228"/>
      <c r="I93" s="228"/>
      <c r="J93" s="228"/>
      <c r="K93" s="228"/>
      <c r="L93" s="228"/>
      <c r="M93" s="228"/>
      <c r="N93" s="228"/>
      <c r="O93" s="228"/>
      <c r="P93" s="228"/>
      <c r="Q93" s="228"/>
      <c r="R93" s="228"/>
      <c r="S93" s="228"/>
      <c r="T93" s="228"/>
      <c r="U93" s="228"/>
      <c r="V93" s="228"/>
      <c r="W93" s="228"/>
      <c r="X93" s="228"/>
      <c r="Y93" s="228"/>
      <c r="Z93" s="228"/>
      <c r="AA93" s="228"/>
      <c r="AB93" s="228"/>
      <c r="AC93" s="228"/>
      <c r="AD93" s="228"/>
      <c r="AE93" s="228"/>
      <c r="AF93" s="228"/>
      <c r="AG93" s="228"/>
      <c r="AJ93" s="29"/>
      <c r="AL93" s="29"/>
      <c r="AU93" s="203"/>
      <c r="AV93" s="203"/>
      <c r="AW93" s="203"/>
    </row>
    <row r="94" spans="1:49" x14ac:dyDescent="0.2">
      <c r="A94" s="27"/>
      <c r="B94" s="227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8"/>
      <c r="P94" s="228"/>
      <c r="Q94" s="228"/>
      <c r="R94" s="228"/>
      <c r="S94" s="228"/>
      <c r="T94" s="228"/>
      <c r="U94" s="228"/>
      <c r="V94" s="228"/>
      <c r="W94" s="228"/>
      <c r="X94" s="228"/>
      <c r="Y94" s="228"/>
      <c r="Z94" s="228"/>
      <c r="AA94" s="228"/>
      <c r="AB94" s="228"/>
      <c r="AC94" s="228"/>
      <c r="AD94" s="228"/>
      <c r="AE94" s="228"/>
      <c r="AF94" s="228"/>
      <c r="AG94" s="228"/>
      <c r="AJ94" s="29"/>
      <c r="AK94" s="102"/>
      <c r="AL94" s="29"/>
      <c r="AU94" s="203"/>
      <c r="AV94" s="203"/>
      <c r="AW94" s="203"/>
    </row>
    <row r="95" spans="1:49" x14ac:dyDescent="0.2">
      <c r="A95" s="27"/>
      <c r="B95" s="227"/>
      <c r="C95" s="228"/>
      <c r="D95" s="228"/>
      <c r="E95" s="228"/>
      <c r="F95" s="228"/>
      <c r="G95" s="228"/>
      <c r="H95" s="228"/>
      <c r="I95" s="228"/>
      <c r="J95" s="228"/>
      <c r="K95" s="228"/>
      <c r="L95" s="228"/>
      <c r="M95" s="228"/>
      <c r="N95" s="228"/>
      <c r="O95" s="228"/>
      <c r="P95" s="228"/>
      <c r="Q95" s="228"/>
      <c r="R95" s="228"/>
      <c r="S95" s="228"/>
      <c r="T95" s="228"/>
      <c r="U95" s="228"/>
      <c r="V95" s="228"/>
      <c r="W95" s="228"/>
      <c r="X95" s="228"/>
      <c r="Y95" s="228"/>
      <c r="Z95" s="228"/>
      <c r="AA95" s="228"/>
      <c r="AB95" s="228"/>
      <c r="AC95" s="228"/>
      <c r="AD95" s="228"/>
      <c r="AE95" s="228"/>
      <c r="AF95" s="228"/>
      <c r="AG95" s="228"/>
      <c r="AJ95" s="29"/>
      <c r="AK95" s="102"/>
      <c r="AL95" s="29"/>
      <c r="AU95" s="203"/>
      <c r="AV95" s="203"/>
      <c r="AW95" s="203"/>
    </row>
    <row r="96" spans="1:49" x14ac:dyDescent="0.2">
      <c r="A96" s="27"/>
      <c r="B96" s="227"/>
      <c r="C96" s="228"/>
      <c r="D96" s="228"/>
      <c r="E96" s="228"/>
      <c r="F96" s="228"/>
      <c r="G96" s="228"/>
      <c r="H96" s="228"/>
      <c r="I96" s="228"/>
      <c r="J96" s="228"/>
      <c r="K96" s="228"/>
      <c r="L96" s="228"/>
      <c r="M96" s="228"/>
      <c r="N96" s="228"/>
      <c r="O96" s="228"/>
      <c r="P96" s="228"/>
      <c r="Q96" s="228"/>
      <c r="R96" s="228"/>
      <c r="S96" s="228"/>
      <c r="T96" s="228"/>
      <c r="U96" s="228"/>
      <c r="V96" s="228"/>
      <c r="W96" s="228"/>
      <c r="X96" s="228"/>
      <c r="Y96" s="228"/>
      <c r="Z96" s="228"/>
      <c r="AA96" s="228"/>
      <c r="AB96" s="228"/>
      <c r="AC96" s="228"/>
      <c r="AD96" s="228"/>
      <c r="AE96" s="228"/>
      <c r="AF96" s="228"/>
      <c r="AG96" s="228"/>
      <c r="AJ96" s="29"/>
      <c r="AK96" s="102"/>
      <c r="AL96" s="29"/>
      <c r="AU96" s="203"/>
      <c r="AV96" s="203"/>
      <c r="AW96" s="203"/>
    </row>
    <row r="97" spans="1:49" x14ac:dyDescent="0.2">
      <c r="A97" s="27"/>
      <c r="B97" s="227"/>
      <c r="C97" s="228"/>
      <c r="D97" s="228"/>
      <c r="E97" s="228"/>
      <c r="F97" s="228"/>
      <c r="G97" s="228"/>
      <c r="H97" s="228"/>
      <c r="I97" s="228"/>
      <c r="J97" s="228"/>
      <c r="K97" s="228"/>
      <c r="L97" s="228"/>
      <c r="M97" s="228"/>
      <c r="N97" s="228"/>
      <c r="O97" s="228"/>
      <c r="P97" s="228"/>
      <c r="Q97" s="228"/>
      <c r="R97" s="228"/>
      <c r="S97" s="228"/>
      <c r="T97" s="228"/>
      <c r="U97" s="228"/>
      <c r="V97" s="228"/>
      <c r="W97" s="228"/>
      <c r="X97" s="228"/>
      <c r="Y97" s="228"/>
      <c r="Z97" s="228"/>
      <c r="AA97" s="228"/>
      <c r="AB97" s="228"/>
      <c r="AC97" s="228"/>
      <c r="AD97" s="228"/>
      <c r="AE97" s="228"/>
      <c r="AF97" s="228"/>
      <c r="AG97" s="228"/>
      <c r="AH97" s="30"/>
      <c r="AI97" s="140"/>
      <c r="AJ97" s="29"/>
      <c r="AK97" s="102"/>
      <c r="AL97" s="29"/>
      <c r="AU97" s="203"/>
      <c r="AV97" s="203"/>
      <c r="AW97" s="203"/>
    </row>
    <row r="98" spans="1:49" x14ac:dyDescent="0.2">
      <c r="A98" s="27"/>
      <c r="B98" s="227"/>
      <c r="C98" s="227"/>
      <c r="D98" s="227"/>
      <c r="E98" s="227"/>
      <c r="F98" s="227"/>
      <c r="G98" s="227"/>
      <c r="H98" s="227"/>
      <c r="I98" s="227"/>
      <c r="J98" s="227"/>
      <c r="K98" s="227"/>
      <c r="L98" s="227"/>
      <c r="M98" s="227"/>
      <c r="N98" s="227"/>
      <c r="O98" s="227"/>
      <c r="P98" s="227"/>
      <c r="Q98" s="227"/>
      <c r="R98" s="227"/>
      <c r="S98" s="227"/>
      <c r="T98" s="227"/>
      <c r="U98" s="227"/>
      <c r="V98" s="227"/>
      <c r="W98" s="227"/>
      <c r="X98" s="227"/>
      <c r="Y98" s="227"/>
      <c r="Z98" s="227"/>
      <c r="AA98" s="227"/>
      <c r="AB98" s="227"/>
      <c r="AC98" s="227"/>
      <c r="AD98" s="227"/>
      <c r="AE98" s="227"/>
      <c r="AF98" s="227"/>
      <c r="AG98" s="227"/>
      <c r="AH98" s="30"/>
      <c r="AI98" s="141"/>
      <c r="AJ98" s="29"/>
      <c r="AK98" s="102"/>
      <c r="AL98" s="29"/>
      <c r="AU98" s="203"/>
      <c r="AV98" s="203"/>
      <c r="AW98" s="203"/>
    </row>
    <row r="99" spans="1:49" x14ac:dyDescent="0.2">
      <c r="A99" s="27"/>
      <c r="B99" s="2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30"/>
      <c r="AI99" s="142"/>
      <c r="AJ99" s="29"/>
      <c r="AK99" s="102"/>
      <c r="AL99" s="29"/>
      <c r="AU99" s="203" t="e">
        <f t="shared" ref="AU99:AU106" ca="1" si="69">F12</f>
        <v>#NAME?</v>
      </c>
      <c r="AV99" s="203">
        <f t="shared" ref="AV99:AV131" si="70">AV86</f>
        <v>100</v>
      </c>
      <c r="AW99" s="203">
        <f t="shared" ref="AW99:AW106" si="71">F$6</f>
        <v>350</v>
      </c>
    </row>
    <row r="100" spans="1:49" x14ac:dyDescent="0.2">
      <c r="A100" s="27"/>
      <c r="B100" s="2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30"/>
      <c r="AI100" s="141"/>
      <c r="AJ100" s="29"/>
      <c r="AK100" s="102"/>
      <c r="AL100" s="29"/>
      <c r="AU100" s="203" t="e">
        <f t="shared" ca="1" si="69"/>
        <v>#NAME?</v>
      </c>
      <c r="AV100" s="203">
        <f t="shared" si="70"/>
        <v>0</v>
      </c>
      <c r="AW100" s="203">
        <f t="shared" si="71"/>
        <v>350</v>
      </c>
    </row>
    <row r="101" spans="1:49" x14ac:dyDescent="0.2">
      <c r="A101" s="27"/>
      <c r="B101" s="2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30"/>
      <c r="AI101" s="142"/>
      <c r="AJ101" s="29"/>
      <c r="AK101" s="102"/>
      <c r="AL101" s="29"/>
      <c r="AU101" s="203" t="e">
        <f t="shared" ca="1" si="69"/>
        <v>#NAME?</v>
      </c>
      <c r="AV101" s="203">
        <f t="shared" si="70"/>
        <v>-100</v>
      </c>
      <c r="AW101" s="203">
        <f t="shared" si="71"/>
        <v>350</v>
      </c>
    </row>
    <row r="102" spans="1:49" x14ac:dyDescent="0.2">
      <c r="A102" s="27"/>
      <c r="B102" s="2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30"/>
      <c r="AI102" s="140"/>
      <c r="AJ102" s="29"/>
      <c r="AK102" s="102"/>
      <c r="AL102" s="29"/>
      <c r="AU102" s="203" t="e">
        <f t="shared" ca="1" si="69"/>
        <v>#NAME?</v>
      </c>
      <c r="AV102" s="203">
        <f t="shared" si="70"/>
        <v>-200</v>
      </c>
      <c r="AW102" s="203">
        <f t="shared" si="71"/>
        <v>350</v>
      </c>
    </row>
    <row r="103" spans="1:49" x14ac:dyDescent="0.2">
      <c r="A103" s="27"/>
      <c r="B103" s="2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30"/>
      <c r="AI103" s="140"/>
      <c r="AJ103" s="29"/>
      <c r="AK103" s="102"/>
      <c r="AL103" s="29"/>
      <c r="AU103" s="203" t="e">
        <f t="shared" ca="1" si="69"/>
        <v>#NAME?</v>
      </c>
      <c r="AV103" s="203">
        <f t="shared" si="70"/>
        <v>-300</v>
      </c>
      <c r="AW103" s="203">
        <f t="shared" si="71"/>
        <v>350</v>
      </c>
    </row>
    <row r="104" spans="1:49" x14ac:dyDescent="0.2">
      <c r="A104" s="27"/>
      <c r="B104" s="2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30"/>
      <c r="AI104" s="140"/>
      <c r="AJ104" s="29"/>
      <c r="AK104" s="102"/>
      <c r="AL104" s="29"/>
      <c r="AU104" s="203" t="e">
        <f t="shared" ca="1" si="69"/>
        <v>#NAME?</v>
      </c>
      <c r="AV104" s="203">
        <f t="shared" si="70"/>
        <v>-400</v>
      </c>
      <c r="AW104" s="203">
        <f t="shared" si="71"/>
        <v>350</v>
      </c>
    </row>
    <row r="105" spans="1:49" x14ac:dyDescent="0.2">
      <c r="A105" s="27"/>
      <c r="B105" s="2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30"/>
      <c r="AI105" s="140"/>
      <c r="AJ105" s="29"/>
      <c r="AK105" s="102"/>
      <c r="AL105" s="29"/>
      <c r="AU105" s="203" t="e">
        <f t="shared" ca="1" si="69"/>
        <v>#NAME?</v>
      </c>
      <c r="AV105" s="203">
        <f t="shared" si="70"/>
        <v>0</v>
      </c>
      <c r="AW105" s="203">
        <f t="shared" si="71"/>
        <v>350</v>
      </c>
    </row>
    <row r="106" spans="1:49" x14ac:dyDescent="0.2">
      <c r="A106" s="27"/>
      <c r="B106" s="2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30"/>
      <c r="AI106" s="140"/>
      <c r="AJ106" s="29"/>
      <c r="AK106" s="101"/>
      <c r="AL106" s="29"/>
      <c r="AU106" s="203" t="e">
        <f t="shared" ca="1" si="69"/>
        <v>#NAME?</v>
      </c>
      <c r="AV106" s="203">
        <f t="shared" si="70"/>
        <v>0</v>
      </c>
      <c r="AW106" s="203">
        <f t="shared" si="71"/>
        <v>350</v>
      </c>
    </row>
    <row r="107" spans="1:49" x14ac:dyDescent="0.2">
      <c r="A107" s="27"/>
      <c r="B107" s="2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30"/>
      <c r="AI107" s="140"/>
      <c r="AJ107" s="29"/>
      <c r="AK107" s="29"/>
      <c r="AL107" s="29"/>
      <c r="AU107" s="203" t="e">
        <f t="shared" ref="AU107:AU119" ca="1" si="72">G7</f>
        <v>#NAME?</v>
      </c>
      <c r="AV107" s="203">
        <f t="shared" si="70"/>
        <v>0</v>
      </c>
      <c r="AW107" s="203">
        <f t="shared" ref="AW107:AW119" si="73">G$6</f>
        <v>450</v>
      </c>
    </row>
    <row r="108" spans="1:49" x14ac:dyDescent="0.2">
      <c r="A108" s="27"/>
      <c r="B108" s="2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30"/>
      <c r="AI108" s="140"/>
      <c r="AJ108" s="29"/>
      <c r="AK108" s="29"/>
      <c r="AL108" s="29"/>
      <c r="AU108" s="203" t="e">
        <f t="shared" ca="1" si="72"/>
        <v>#NAME?</v>
      </c>
      <c r="AV108" s="203">
        <f t="shared" si="70"/>
        <v>0</v>
      </c>
      <c r="AW108" s="203">
        <f t="shared" si="73"/>
        <v>450</v>
      </c>
    </row>
    <row r="109" spans="1:49" x14ac:dyDescent="0.2">
      <c r="A109" s="27"/>
      <c r="B109" s="2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30"/>
      <c r="AI109" s="140"/>
      <c r="AJ109" s="29"/>
      <c r="AK109" s="29"/>
      <c r="AL109" s="29"/>
      <c r="AU109" s="203" t="e">
        <f t="shared" ca="1" si="72"/>
        <v>#NAME?</v>
      </c>
      <c r="AV109" s="203">
        <f t="shared" si="70"/>
        <v>0</v>
      </c>
      <c r="AW109" s="203">
        <f t="shared" si="73"/>
        <v>450</v>
      </c>
    </row>
    <row r="110" spans="1:49" x14ac:dyDescent="0.2">
      <c r="A110" s="27"/>
      <c r="B110" s="2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30"/>
      <c r="AJ110" s="29"/>
      <c r="AK110" s="29"/>
      <c r="AL110" s="29"/>
      <c r="AU110" s="203" t="e">
        <f t="shared" ca="1" si="72"/>
        <v>#NAME?</v>
      </c>
      <c r="AV110" s="203">
        <f t="shared" si="70"/>
        <v>0</v>
      </c>
      <c r="AW110" s="203">
        <f t="shared" si="73"/>
        <v>450</v>
      </c>
    </row>
    <row r="111" spans="1:49" x14ac:dyDescent="0.2">
      <c r="A111" s="27"/>
      <c r="B111" s="2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30"/>
      <c r="AJ111" s="29"/>
      <c r="AK111" s="29"/>
      <c r="AL111" s="29"/>
      <c r="AU111" s="203" t="e">
        <f t="shared" ca="1" si="72"/>
        <v>#NAME?</v>
      </c>
      <c r="AV111" s="203">
        <f t="shared" si="70"/>
        <v>0</v>
      </c>
      <c r="AW111" s="203">
        <f t="shared" si="73"/>
        <v>450</v>
      </c>
    </row>
    <row r="112" spans="1:49" x14ac:dyDescent="0.2">
      <c r="A112" s="27"/>
      <c r="B112" s="2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30"/>
      <c r="AJ112" s="29"/>
      <c r="AK112" s="29"/>
      <c r="AL112" s="29"/>
      <c r="AU112" s="203" t="e">
        <f t="shared" ca="1" si="72"/>
        <v>#NAME?</v>
      </c>
      <c r="AV112" s="203">
        <f t="shared" si="70"/>
        <v>100</v>
      </c>
      <c r="AW112" s="203">
        <f t="shared" si="73"/>
        <v>450</v>
      </c>
    </row>
    <row r="113" spans="1:49" x14ac:dyDescent="0.2">
      <c r="A113" s="27"/>
      <c r="B113" s="2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30"/>
      <c r="AJ113" s="29"/>
      <c r="AK113" s="29"/>
      <c r="AL113" s="29"/>
      <c r="AU113" s="203" t="e">
        <f t="shared" ca="1" si="72"/>
        <v>#NAME?</v>
      </c>
      <c r="AV113" s="203">
        <f t="shared" si="70"/>
        <v>0</v>
      </c>
      <c r="AW113" s="203">
        <f t="shared" si="73"/>
        <v>450</v>
      </c>
    </row>
    <row r="114" spans="1:49" x14ac:dyDescent="0.2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30"/>
      <c r="AJ114" s="29"/>
      <c r="AK114" s="29"/>
      <c r="AL114" s="29"/>
      <c r="AU114" s="203" t="e">
        <f t="shared" ca="1" si="72"/>
        <v>#NAME?</v>
      </c>
      <c r="AV114" s="203">
        <f t="shared" si="70"/>
        <v>-100</v>
      </c>
      <c r="AW114" s="203">
        <f t="shared" si="73"/>
        <v>450</v>
      </c>
    </row>
    <row r="115" spans="1:49" x14ac:dyDescent="0.2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30"/>
      <c r="AJ115" s="29"/>
      <c r="AK115" s="29"/>
      <c r="AL115" s="29"/>
      <c r="AU115" s="203" t="e">
        <f t="shared" ca="1" si="72"/>
        <v>#NAME?</v>
      </c>
      <c r="AV115" s="203">
        <f t="shared" si="70"/>
        <v>-200</v>
      </c>
      <c r="AW115" s="203">
        <f t="shared" si="73"/>
        <v>450</v>
      </c>
    </row>
    <row r="116" spans="1:49" x14ac:dyDescent="0.2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30"/>
      <c r="AJ116" s="29"/>
      <c r="AK116" s="29"/>
      <c r="AL116" s="29"/>
      <c r="AU116" s="203" t="e">
        <f t="shared" ca="1" si="72"/>
        <v>#NAME?</v>
      </c>
      <c r="AV116" s="203">
        <f t="shared" si="70"/>
        <v>-300</v>
      </c>
      <c r="AW116" s="203">
        <f t="shared" si="73"/>
        <v>450</v>
      </c>
    </row>
    <row r="117" spans="1:49" x14ac:dyDescent="0.2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J117" s="29"/>
      <c r="AK117" s="29"/>
      <c r="AL117" s="29"/>
      <c r="AU117" s="203" t="e">
        <f t="shared" ca="1" si="72"/>
        <v>#NAME?</v>
      </c>
      <c r="AV117" s="203">
        <f t="shared" si="70"/>
        <v>-400</v>
      </c>
      <c r="AW117" s="203">
        <f t="shared" si="73"/>
        <v>450</v>
      </c>
    </row>
    <row r="118" spans="1:49" x14ac:dyDescent="0.2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J118" s="29"/>
      <c r="AK118" s="29"/>
      <c r="AL118" s="29"/>
      <c r="AU118" s="203" t="e">
        <f t="shared" ca="1" si="72"/>
        <v>#NAME?</v>
      </c>
      <c r="AV118" s="203">
        <f t="shared" si="70"/>
        <v>0</v>
      </c>
      <c r="AW118" s="203">
        <f t="shared" si="73"/>
        <v>450</v>
      </c>
    </row>
    <row r="119" spans="1:49" x14ac:dyDescent="0.2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J119" s="29"/>
      <c r="AL119" s="29"/>
      <c r="AU119" s="203" t="e">
        <f t="shared" ca="1" si="72"/>
        <v>#NAME?</v>
      </c>
      <c r="AV119" s="203">
        <f t="shared" si="70"/>
        <v>0</v>
      </c>
      <c r="AW119" s="203">
        <f t="shared" si="73"/>
        <v>450</v>
      </c>
    </row>
    <row r="120" spans="1:49" x14ac:dyDescent="0.2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J120" s="29"/>
      <c r="AK120" s="102"/>
      <c r="AL120" s="29"/>
      <c r="AU120" s="203" t="e">
        <f t="shared" ref="AU120:AU132" ca="1" si="74">H7</f>
        <v>#NAME?</v>
      </c>
      <c r="AV120" s="203">
        <f t="shared" si="70"/>
        <v>0</v>
      </c>
      <c r="AW120" s="203">
        <f t="shared" ref="AW120:AW132" si="75">H$6</f>
        <v>550</v>
      </c>
    </row>
    <row r="121" spans="1:49" x14ac:dyDescent="0.2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J121" s="29"/>
      <c r="AK121" s="102"/>
      <c r="AL121" s="29"/>
      <c r="AU121" s="203" t="e">
        <f t="shared" ca="1" si="74"/>
        <v>#NAME?</v>
      </c>
      <c r="AV121" s="203">
        <f t="shared" si="70"/>
        <v>0</v>
      </c>
      <c r="AW121" s="203">
        <f t="shared" si="75"/>
        <v>550</v>
      </c>
    </row>
    <row r="122" spans="1:49" x14ac:dyDescent="0.2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J122" s="29"/>
      <c r="AK122" s="102"/>
      <c r="AL122" s="29"/>
      <c r="AU122" s="203" t="e">
        <f t="shared" ca="1" si="74"/>
        <v>#NAME?</v>
      </c>
      <c r="AV122" s="203">
        <f t="shared" si="70"/>
        <v>0</v>
      </c>
      <c r="AW122" s="203">
        <f t="shared" si="75"/>
        <v>550</v>
      </c>
    </row>
    <row r="123" spans="1:49" x14ac:dyDescent="0.2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J123" s="29"/>
      <c r="AK123" s="102"/>
      <c r="AL123" s="29"/>
      <c r="AU123" s="203" t="e">
        <f t="shared" ca="1" si="74"/>
        <v>#NAME?</v>
      </c>
      <c r="AV123" s="203">
        <f t="shared" si="70"/>
        <v>0</v>
      </c>
      <c r="AW123" s="203">
        <f t="shared" si="75"/>
        <v>550</v>
      </c>
    </row>
    <row r="124" spans="1:49" x14ac:dyDescent="0.2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J124" s="29"/>
      <c r="AK124" s="102"/>
      <c r="AL124" s="29"/>
      <c r="AU124" s="203" t="e">
        <f t="shared" ca="1" si="74"/>
        <v>#NAME?</v>
      </c>
      <c r="AV124" s="203">
        <f t="shared" si="70"/>
        <v>0</v>
      </c>
      <c r="AW124" s="203">
        <f t="shared" si="75"/>
        <v>550</v>
      </c>
    </row>
    <row r="125" spans="1:49" x14ac:dyDescent="0.2">
      <c r="AJ125" s="29"/>
      <c r="AK125" s="102"/>
      <c r="AL125" s="29"/>
      <c r="AU125" s="203" t="e">
        <f t="shared" ca="1" si="74"/>
        <v>#NAME?</v>
      </c>
      <c r="AV125" s="203">
        <f t="shared" si="70"/>
        <v>100</v>
      </c>
      <c r="AW125" s="203">
        <f t="shared" si="75"/>
        <v>550</v>
      </c>
    </row>
    <row r="126" spans="1:49" x14ac:dyDescent="0.2">
      <c r="AJ126" s="29"/>
      <c r="AK126" s="102"/>
      <c r="AL126" s="29"/>
      <c r="AU126" s="203" t="e">
        <f t="shared" ca="1" si="74"/>
        <v>#NAME?</v>
      </c>
      <c r="AV126" s="203">
        <f t="shared" si="70"/>
        <v>0</v>
      </c>
      <c r="AW126" s="203">
        <f t="shared" si="75"/>
        <v>550</v>
      </c>
    </row>
    <row r="127" spans="1:49" x14ac:dyDescent="0.2">
      <c r="AJ127" s="29"/>
      <c r="AK127" s="102"/>
      <c r="AL127" s="29"/>
      <c r="AU127" s="203" t="e">
        <f t="shared" ca="1" si="74"/>
        <v>#NAME?</v>
      </c>
      <c r="AV127" s="203">
        <f t="shared" si="70"/>
        <v>-100</v>
      </c>
      <c r="AW127" s="203">
        <f t="shared" si="75"/>
        <v>550</v>
      </c>
    </row>
    <row r="128" spans="1:49" x14ac:dyDescent="0.2">
      <c r="AJ128" s="29"/>
      <c r="AK128" s="102"/>
      <c r="AL128" s="29"/>
      <c r="AU128" s="203" t="e">
        <f t="shared" ca="1" si="74"/>
        <v>#NAME?</v>
      </c>
      <c r="AV128" s="203">
        <f t="shared" si="70"/>
        <v>-200</v>
      </c>
      <c r="AW128" s="203">
        <f t="shared" si="75"/>
        <v>550</v>
      </c>
    </row>
    <row r="129" spans="36:49" x14ac:dyDescent="0.2">
      <c r="AJ129" s="29"/>
      <c r="AK129" s="102"/>
      <c r="AL129" s="29"/>
      <c r="AU129" s="203" t="e">
        <f t="shared" ca="1" si="74"/>
        <v>#NAME?</v>
      </c>
      <c r="AV129" s="203">
        <f t="shared" si="70"/>
        <v>-300</v>
      </c>
      <c r="AW129" s="203">
        <f t="shared" si="75"/>
        <v>550</v>
      </c>
    </row>
    <row r="130" spans="36:49" x14ac:dyDescent="0.2">
      <c r="AJ130" s="29"/>
      <c r="AK130" s="102"/>
      <c r="AL130" s="29"/>
      <c r="AU130" s="203" t="e">
        <f t="shared" ca="1" si="74"/>
        <v>#NAME?</v>
      </c>
      <c r="AV130" s="203">
        <f t="shared" si="70"/>
        <v>-400</v>
      </c>
      <c r="AW130" s="203">
        <f t="shared" si="75"/>
        <v>550</v>
      </c>
    </row>
    <row r="131" spans="36:49" x14ac:dyDescent="0.2">
      <c r="AJ131" s="29"/>
      <c r="AK131" s="102"/>
      <c r="AL131" s="29"/>
      <c r="AU131" s="203" t="e">
        <f t="shared" ca="1" si="74"/>
        <v>#NAME?</v>
      </c>
      <c r="AV131" s="203">
        <f t="shared" si="70"/>
        <v>0</v>
      </c>
      <c r="AW131" s="203">
        <f t="shared" si="75"/>
        <v>550</v>
      </c>
    </row>
    <row r="132" spans="36:49" x14ac:dyDescent="0.2">
      <c r="AJ132" s="29"/>
      <c r="AK132" s="101"/>
      <c r="AL132" s="29"/>
      <c r="AU132" s="203" t="e">
        <f t="shared" ca="1" si="74"/>
        <v>#NAME?</v>
      </c>
      <c r="AV132" s="203">
        <f t="shared" ref="AV132:AV195" si="76">AV119</f>
        <v>0</v>
      </c>
      <c r="AW132" s="203">
        <f t="shared" si="75"/>
        <v>550</v>
      </c>
    </row>
    <row r="133" spans="36:49" x14ac:dyDescent="0.2">
      <c r="AJ133" s="29"/>
      <c r="AK133" s="29"/>
      <c r="AL133" s="29"/>
      <c r="AU133" s="203" t="e">
        <f t="shared" ref="AU133:AU145" ca="1" si="77">I7</f>
        <v>#NAME?</v>
      </c>
      <c r="AV133" s="203">
        <f t="shared" si="76"/>
        <v>0</v>
      </c>
      <c r="AW133" s="203">
        <f t="shared" ref="AW133:AW145" si="78">I$6</f>
        <v>650</v>
      </c>
    </row>
    <row r="134" spans="36:49" x14ac:dyDescent="0.2">
      <c r="AJ134" s="29"/>
      <c r="AK134" s="29"/>
      <c r="AL134" s="29"/>
      <c r="AU134" s="203" t="e">
        <f t="shared" ca="1" si="77"/>
        <v>#NAME?</v>
      </c>
      <c r="AV134" s="203">
        <f t="shared" si="76"/>
        <v>0</v>
      </c>
      <c r="AW134" s="203">
        <f t="shared" si="78"/>
        <v>650</v>
      </c>
    </row>
    <row r="135" spans="36:49" x14ac:dyDescent="0.2">
      <c r="AJ135" s="29"/>
      <c r="AK135" s="29"/>
      <c r="AL135" s="29"/>
      <c r="AU135" s="203" t="e">
        <f t="shared" ca="1" si="77"/>
        <v>#NAME?</v>
      </c>
      <c r="AV135" s="203">
        <f t="shared" si="76"/>
        <v>0</v>
      </c>
      <c r="AW135" s="203">
        <f t="shared" si="78"/>
        <v>650</v>
      </c>
    </row>
    <row r="136" spans="36:49" x14ac:dyDescent="0.2">
      <c r="AJ136" s="29"/>
      <c r="AK136" s="29"/>
      <c r="AL136" s="29"/>
      <c r="AU136" s="203" t="e">
        <f t="shared" ca="1" si="77"/>
        <v>#NAME?</v>
      </c>
      <c r="AV136" s="203">
        <f t="shared" si="76"/>
        <v>0</v>
      </c>
      <c r="AW136" s="203">
        <f t="shared" si="78"/>
        <v>650</v>
      </c>
    </row>
    <row r="137" spans="36:49" x14ac:dyDescent="0.2">
      <c r="AJ137" s="29"/>
      <c r="AK137" s="29"/>
      <c r="AL137" s="29"/>
      <c r="AU137" s="203" t="e">
        <f t="shared" ca="1" si="77"/>
        <v>#NAME?</v>
      </c>
      <c r="AV137" s="203">
        <f t="shared" si="76"/>
        <v>0</v>
      </c>
      <c r="AW137" s="203">
        <f t="shared" si="78"/>
        <v>650</v>
      </c>
    </row>
    <row r="138" spans="36:49" x14ac:dyDescent="0.2">
      <c r="AJ138" s="29"/>
      <c r="AK138" s="29"/>
      <c r="AL138" s="29"/>
      <c r="AU138" s="203" t="e">
        <f t="shared" ca="1" si="77"/>
        <v>#NAME?</v>
      </c>
      <c r="AV138" s="203">
        <f t="shared" si="76"/>
        <v>100</v>
      </c>
      <c r="AW138" s="203">
        <f t="shared" si="78"/>
        <v>650</v>
      </c>
    </row>
    <row r="139" spans="36:49" x14ac:dyDescent="0.2">
      <c r="AJ139" s="29"/>
      <c r="AK139" s="29"/>
      <c r="AL139" s="29"/>
      <c r="AU139" s="203" t="e">
        <f t="shared" ca="1" si="77"/>
        <v>#NAME?</v>
      </c>
      <c r="AV139" s="203">
        <f t="shared" si="76"/>
        <v>0</v>
      </c>
      <c r="AW139" s="203">
        <f t="shared" si="78"/>
        <v>650</v>
      </c>
    </row>
    <row r="140" spans="36:49" x14ac:dyDescent="0.2">
      <c r="AJ140" s="29"/>
      <c r="AK140" s="29"/>
      <c r="AL140" s="29"/>
      <c r="AU140" s="203" t="e">
        <f t="shared" ca="1" si="77"/>
        <v>#NAME?</v>
      </c>
      <c r="AV140" s="203">
        <f t="shared" si="76"/>
        <v>-100</v>
      </c>
      <c r="AW140" s="203">
        <f t="shared" si="78"/>
        <v>650</v>
      </c>
    </row>
    <row r="141" spans="36:49" x14ac:dyDescent="0.2">
      <c r="AJ141" s="29"/>
      <c r="AK141" s="29"/>
      <c r="AL141" s="29"/>
      <c r="AU141" s="203" t="e">
        <f t="shared" ca="1" si="77"/>
        <v>#NAME?</v>
      </c>
      <c r="AV141" s="203">
        <f t="shared" si="76"/>
        <v>-200</v>
      </c>
      <c r="AW141" s="203">
        <f t="shared" si="78"/>
        <v>650</v>
      </c>
    </row>
    <row r="142" spans="36:49" x14ac:dyDescent="0.2">
      <c r="AJ142" s="29"/>
      <c r="AK142" s="29"/>
      <c r="AL142" s="29"/>
      <c r="AU142" s="203" t="e">
        <f t="shared" ca="1" si="77"/>
        <v>#NAME?</v>
      </c>
      <c r="AV142" s="203">
        <f t="shared" si="76"/>
        <v>-300</v>
      </c>
      <c r="AW142" s="203">
        <f t="shared" si="78"/>
        <v>650</v>
      </c>
    </row>
    <row r="143" spans="36:49" x14ac:dyDescent="0.2">
      <c r="AJ143" s="29"/>
      <c r="AK143" s="29"/>
      <c r="AL143" s="29"/>
      <c r="AU143" s="203" t="e">
        <f t="shared" ca="1" si="77"/>
        <v>#NAME?</v>
      </c>
      <c r="AV143" s="203">
        <f t="shared" si="76"/>
        <v>-400</v>
      </c>
      <c r="AW143" s="203">
        <f t="shared" si="78"/>
        <v>650</v>
      </c>
    </row>
    <row r="144" spans="36:49" x14ac:dyDescent="0.2">
      <c r="AJ144" s="29"/>
      <c r="AK144" s="29"/>
      <c r="AL144" s="29"/>
      <c r="AU144" s="203" t="e">
        <f t="shared" ca="1" si="77"/>
        <v>#NAME?</v>
      </c>
      <c r="AV144" s="203">
        <f t="shared" si="76"/>
        <v>0</v>
      </c>
      <c r="AW144" s="203">
        <f t="shared" si="78"/>
        <v>650</v>
      </c>
    </row>
    <row r="145" spans="36:49" x14ac:dyDescent="0.2">
      <c r="AJ145" s="29"/>
      <c r="AL145" s="29"/>
      <c r="AU145" s="203" t="e">
        <f t="shared" ca="1" si="77"/>
        <v>#NAME?</v>
      </c>
      <c r="AV145" s="203">
        <f t="shared" si="76"/>
        <v>0</v>
      </c>
      <c r="AW145" s="203">
        <f t="shared" si="78"/>
        <v>650</v>
      </c>
    </row>
    <row r="146" spans="36:49" x14ac:dyDescent="0.2">
      <c r="AJ146" s="29"/>
      <c r="AK146" s="102"/>
      <c r="AL146" s="29"/>
      <c r="AU146" s="203" t="e">
        <f t="shared" ref="AU146:AU158" ca="1" si="79">J7</f>
        <v>#NAME?</v>
      </c>
      <c r="AV146" s="203">
        <f t="shared" si="76"/>
        <v>0</v>
      </c>
      <c r="AW146" s="203">
        <f t="shared" ref="AW146:AW158" si="80">J$6</f>
        <v>750</v>
      </c>
    </row>
    <row r="147" spans="36:49" x14ac:dyDescent="0.2">
      <c r="AJ147" s="29"/>
      <c r="AK147" s="102"/>
      <c r="AL147" s="29"/>
      <c r="AU147" s="203" t="e">
        <f t="shared" ca="1" si="79"/>
        <v>#NAME?</v>
      </c>
      <c r="AV147" s="203">
        <f t="shared" si="76"/>
        <v>0</v>
      </c>
      <c r="AW147" s="203">
        <f t="shared" si="80"/>
        <v>750</v>
      </c>
    </row>
    <row r="148" spans="36:49" x14ac:dyDescent="0.2">
      <c r="AJ148" s="29"/>
      <c r="AK148" s="102"/>
      <c r="AL148" s="29"/>
      <c r="AU148" s="203" t="e">
        <f t="shared" ca="1" si="79"/>
        <v>#NAME?</v>
      </c>
      <c r="AV148" s="203">
        <f t="shared" si="76"/>
        <v>0</v>
      </c>
      <c r="AW148" s="203">
        <f t="shared" si="80"/>
        <v>750</v>
      </c>
    </row>
    <row r="149" spans="36:49" x14ac:dyDescent="0.2">
      <c r="AJ149" s="29"/>
      <c r="AK149" s="102"/>
      <c r="AL149" s="29"/>
      <c r="AU149" s="203" t="e">
        <f t="shared" ca="1" si="79"/>
        <v>#NAME?</v>
      </c>
      <c r="AV149" s="203">
        <f t="shared" si="76"/>
        <v>0</v>
      </c>
      <c r="AW149" s="203">
        <f t="shared" si="80"/>
        <v>750</v>
      </c>
    </row>
    <row r="150" spans="36:49" x14ac:dyDescent="0.2">
      <c r="AJ150" s="29"/>
      <c r="AK150" s="102"/>
      <c r="AL150" s="29"/>
      <c r="AU150" s="203" t="e">
        <f t="shared" ca="1" si="79"/>
        <v>#NAME?</v>
      </c>
      <c r="AV150" s="203">
        <f t="shared" si="76"/>
        <v>0</v>
      </c>
      <c r="AW150" s="203">
        <f t="shared" si="80"/>
        <v>750</v>
      </c>
    </row>
    <row r="151" spans="36:49" x14ac:dyDescent="0.2">
      <c r="AJ151" s="29"/>
      <c r="AK151" s="102"/>
      <c r="AL151" s="29"/>
      <c r="AU151" s="203" t="e">
        <f t="shared" ca="1" si="79"/>
        <v>#NAME?</v>
      </c>
      <c r="AV151" s="203">
        <f t="shared" si="76"/>
        <v>100</v>
      </c>
      <c r="AW151" s="203">
        <f t="shared" si="80"/>
        <v>750</v>
      </c>
    </row>
    <row r="152" spans="36:49" x14ac:dyDescent="0.2">
      <c r="AJ152" s="29"/>
      <c r="AK152" s="102"/>
      <c r="AL152" s="29"/>
      <c r="AU152" s="203" t="e">
        <f t="shared" ca="1" si="79"/>
        <v>#NAME?</v>
      </c>
      <c r="AV152" s="203">
        <f t="shared" si="76"/>
        <v>0</v>
      </c>
      <c r="AW152" s="203">
        <f t="shared" si="80"/>
        <v>750</v>
      </c>
    </row>
    <row r="153" spans="36:49" x14ac:dyDescent="0.2">
      <c r="AJ153" s="29"/>
      <c r="AK153" s="102"/>
      <c r="AL153" s="29"/>
      <c r="AU153" s="203" t="e">
        <f t="shared" ca="1" si="79"/>
        <v>#NAME?</v>
      </c>
      <c r="AV153" s="203">
        <f t="shared" si="76"/>
        <v>-100</v>
      </c>
      <c r="AW153" s="203">
        <f t="shared" si="80"/>
        <v>750</v>
      </c>
    </row>
    <row r="154" spans="36:49" x14ac:dyDescent="0.2">
      <c r="AJ154" s="29"/>
      <c r="AK154" s="102"/>
      <c r="AL154" s="29"/>
      <c r="AU154" s="203" t="e">
        <f t="shared" ca="1" si="79"/>
        <v>#NAME?</v>
      </c>
      <c r="AV154" s="203">
        <f t="shared" si="76"/>
        <v>-200</v>
      </c>
      <c r="AW154" s="203">
        <f t="shared" si="80"/>
        <v>750</v>
      </c>
    </row>
    <row r="155" spans="36:49" x14ac:dyDescent="0.2">
      <c r="AJ155" s="29"/>
      <c r="AK155" s="102"/>
      <c r="AL155" s="29"/>
      <c r="AU155" s="203" t="e">
        <f t="shared" ca="1" si="79"/>
        <v>#NAME?</v>
      </c>
      <c r="AV155" s="203">
        <f t="shared" si="76"/>
        <v>-300</v>
      </c>
      <c r="AW155" s="203">
        <f t="shared" si="80"/>
        <v>750</v>
      </c>
    </row>
    <row r="156" spans="36:49" x14ac:dyDescent="0.2">
      <c r="AJ156" s="29"/>
      <c r="AK156" s="102"/>
      <c r="AL156" s="29"/>
      <c r="AU156" s="203" t="e">
        <f t="shared" ca="1" si="79"/>
        <v>#NAME?</v>
      </c>
      <c r="AV156" s="203">
        <f t="shared" si="76"/>
        <v>-400</v>
      </c>
      <c r="AW156" s="203">
        <f t="shared" si="80"/>
        <v>750</v>
      </c>
    </row>
    <row r="157" spans="36:49" x14ac:dyDescent="0.2">
      <c r="AJ157" s="29"/>
      <c r="AK157" s="102"/>
      <c r="AL157" s="29"/>
      <c r="AU157" s="203" t="e">
        <f t="shared" ca="1" si="79"/>
        <v>#NAME?</v>
      </c>
      <c r="AV157" s="203">
        <f t="shared" si="76"/>
        <v>0</v>
      </c>
      <c r="AW157" s="203">
        <f t="shared" si="80"/>
        <v>750</v>
      </c>
    </row>
    <row r="158" spans="36:49" x14ac:dyDescent="0.2">
      <c r="AJ158" s="29"/>
      <c r="AK158" s="101"/>
      <c r="AL158" s="29"/>
      <c r="AU158" s="203" t="e">
        <f t="shared" ca="1" si="79"/>
        <v>#NAME?</v>
      </c>
      <c r="AV158" s="203">
        <f t="shared" si="76"/>
        <v>0</v>
      </c>
      <c r="AW158" s="203">
        <f t="shared" si="80"/>
        <v>750</v>
      </c>
    </row>
    <row r="159" spans="36:49" x14ac:dyDescent="0.2">
      <c r="AJ159" s="29"/>
      <c r="AK159" s="29"/>
      <c r="AL159" s="29"/>
      <c r="AU159" s="203" t="e">
        <f t="shared" ref="AU159:AU171" ca="1" si="81">K7</f>
        <v>#NAME?</v>
      </c>
      <c r="AV159" s="203">
        <f t="shared" si="76"/>
        <v>0</v>
      </c>
      <c r="AW159" s="203">
        <f t="shared" ref="AW159:AW171" si="82">K$6</f>
        <v>850</v>
      </c>
    </row>
    <row r="160" spans="36:49" x14ac:dyDescent="0.2">
      <c r="AJ160" s="29"/>
      <c r="AK160" s="29"/>
      <c r="AL160" s="29"/>
      <c r="AU160" s="203" t="e">
        <f t="shared" ca="1" si="81"/>
        <v>#NAME?</v>
      </c>
      <c r="AV160" s="203">
        <f t="shared" si="76"/>
        <v>0</v>
      </c>
      <c r="AW160" s="203">
        <f t="shared" si="82"/>
        <v>850</v>
      </c>
    </row>
    <row r="161" spans="36:49" x14ac:dyDescent="0.2">
      <c r="AJ161" s="29"/>
      <c r="AK161" s="29"/>
      <c r="AL161" s="29"/>
      <c r="AU161" s="203" t="e">
        <f t="shared" ca="1" si="81"/>
        <v>#NAME?</v>
      </c>
      <c r="AV161" s="203">
        <f t="shared" si="76"/>
        <v>0</v>
      </c>
      <c r="AW161" s="203">
        <f t="shared" si="82"/>
        <v>850</v>
      </c>
    </row>
    <row r="162" spans="36:49" x14ac:dyDescent="0.2">
      <c r="AJ162" s="29"/>
      <c r="AK162" s="29"/>
      <c r="AL162" s="29"/>
      <c r="AU162" s="203" t="e">
        <f t="shared" ca="1" si="81"/>
        <v>#NAME?</v>
      </c>
      <c r="AV162" s="203">
        <f t="shared" si="76"/>
        <v>0</v>
      </c>
      <c r="AW162" s="203">
        <f t="shared" si="82"/>
        <v>850</v>
      </c>
    </row>
    <row r="163" spans="36:49" x14ac:dyDescent="0.2">
      <c r="AJ163" s="29"/>
      <c r="AK163" s="29"/>
      <c r="AL163" s="29"/>
      <c r="AU163" s="203" t="e">
        <f t="shared" ca="1" si="81"/>
        <v>#NAME?</v>
      </c>
      <c r="AV163" s="203">
        <f t="shared" si="76"/>
        <v>0</v>
      </c>
      <c r="AW163" s="203">
        <f t="shared" si="82"/>
        <v>850</v>
      </c>
    </row>
    <row r="164" spans="36:49" x14ac:dyDescent="0.2">
      <c r="AJ164" s="29"/>
      <c r="AK164" s="29"/>
      <c r="AL164" s="29"/>
      <c r="AU164" s="203" t="e">
        <f t="shared" ca="1" si="81"/>
        <v>#NAME?</v>
      </c>
      <c r="AV164" s="203">
        <f t="shared" si="76"/>
        <v>100</v>
      </c>
      <c r="AW164" s="203">
        <f t="shared" si="82"/>
        <v>850</v>
      </c>
    </row>
    <row r="165" spans="36:49" x14ac:dyDescent="0.2">
      <c r="AJ165" s="29"/>
      <c r="AK165" s="29"/>
      <c r="AL165" s="29"/>
      <c r="AU165" s="203" t="e">
        <f t="shared" ca="1" si="81"/>
        <v>#NAME?</v>
      </c>
      <c r="AV165" s="203">
        <f t="shared" si="76"/>
        <v>0</v>
      </c>
      <c r="AW165" s="203">
        <f t="shared" si="82"/>
        <v>850</v>
      </c>
    </row>
    <row r="166" spans="36:49" x14ac:dyDescent="0.2">
      <c r="AJ166" s="29"/>
      <c r="AK166" s="29"/>
      <c r="AL166" s="29"/>
      <c r="AU166" s="203" t="e">
        <f t="shared" ca="1" si="81"/>
        <v>#NAME?</v>
      </c>
      <c r="AV166" s="203">
        <f t="shared" si="76"/>
        <v>-100</v>
      </c>
      <c r="AW166" s="203">
        <f t="shared" si="82"/>
        <v>850</v>
      </c>
    </row>
    <row r="167" spans="36:49" x14ac:dyDescent="0.2">
      <c r="AJ167" s="29"/>
      <c r="AK167" s="29"/>
      <c r="AL167" s="29"/>
      <c r="AU167" s="203" t="e">
        <f t="shared" ca="1" si="81"/>
        <v>#NAME?</v>
      </c>
      <c r="AV167" s="203">
        <f t="shared" si="76"/>
        <v>-200</v>
      </c>
      <c r="AW167" s="203">
        <f t="shared" si="82"/>
        <v>850</v>
      </c>
    </row>
    <row r="168" spans="36:49" x14ac:dyDescent="0.2">
      <c r="AJ168" s="29"/>
      <c r="AK168" s="29"/>
      <c r="AL168" s="29"/>
      <c r="AU168" s="203" t="e">
        <f t="shared" ca="1" si="81"/>
        <v>#NAME?</v>
      </c>
      <c r="AV168" s="203">
        <f t="shared" si="76"/>
        <v>-300</v>
      </c>
      <c r="AW168" s="203">
        <f t="shared" si="82"/>
        <v>850</v>
      </c>
    </row>
    <row r="169" spans="36:49" x14ac:dyDescent="0.2">
      <c r="AJ169" s="29"/>
      <c r="AK169" s="29"/>
      <c r="AL169" s="29"/>
      <c r="AU169" s="203" t="e">
        <f t="shared" ca="1" si="81"/>
        <v>#NAME?</v>
      </c>
      <c r="AV169" s="203">
        <f t="shared" si="76"/>
        <v>-400</v>
      </c>
      <c r="AW169" s="203">
        <f t="shared" si="82"/>
        <v>850</v>
      </c>
    </row>
    <row r="170" spans="36:49" x14ac:dyDescent="0.2">
      <c r="AJ170" s="29"/>
      <c r="AK170" s="29"/>
      <c r="AL170" s="29"/>
      <c r="AU170" s="203" t="e">
        <f t="shared" ca="1" si="81"/>
        <v>#NAME?</v>
      </c>
      <c r="AV170" s="203">
        <f t="shared" si="76"/>
        <v>0</v>
      </c>
      <c r="AW170" s="203">
        <f t="shared" si="82"/>
        <v>850</v>
      </c>
    </row>
    <row r="171" spans="36:49" x14ac:dyDescent="0.2">
      <c r="AJ171" s="29"/>
      <c r="AL171" s="29"/>
      <c r="AU171" s="203" t="e">
        <f t="shared" ca="1" si="81"/>
        <v>#NAME?</v>
      </c>
      <c r="AV171" s="203">
        <f t="shared" si="76"/>
        <v>0</v>
      </c>
      <c r="AW171" s="203">
        <f t="shared" si="82"/>
        <v>850</v>
      </c>
    </row>
    <row r="172" spans="36:49" x14ac:dyDescent="0.2">
      <c r="AJ172" s="29"/>
      <c r="AK172" s="102"/>
      <c r="AL172" s="29"/>
      <c r="AU172" s="203" t="e">
        <f t="shared" ref="AU172:AU184" ca="1" si="83">L7</f>
        <v>#NAME?</v>
      </c>
      <c r="AV172" s="203">
        <f t="shared" si="76"/>
        <v>0</v>
      </c>
      <c r="AW172" s="203">
        <f t="shared" ref="AW172:AW184" si="84">L$6</f>
        <v>950</v>
      </c>
    </row>
    <row r="173" spans="36:49" x14ac:dyDescent="0.2">
      <c r="AJ173" s="29"/>
      <c r="AK173" s="102"/>
      <c r="AL173" s="29"/>
      <c r="AU173" s="203" t="e">
        <f t="shared" ca="1" si="83"/>
        <v>#NAME?</v>
      </c>
      <c r="AV173" s="203">
        <f t="shared" si="76"/>
        <v>0</v>
      </c>
      <c r="AW173" s="203">
        <f t="shared" si="84"/>
        <v>950</v>
      </c>
    </row>
    <row r="174" spans="36:49" x14ac:dyDescent="0.2">
      <c r="AJ174" s="29"/>
      <c r="AK174" s="102"/>
      <c r="AL174" s="29"/>
      <c r="AU174" s="203" t="e">
        <f t="shared" ca="1" si="83"/>
        <v>#NAME?</v>
      </c>
      <c r="AV174" s="203">
        <f t="shared" si="76"/>
        <v>0</v>
      </c>
      <c r="AW174" s="203">
        <f t="shared" si="84"/>
        <v>950</v>
      </c>
    </row>
    <row r="175" spans="36:49" x14ac:dyDescent="0.2">
      <c r="AJ175" s="29"/>
      <c r="AK175" s="102"/>
      <c r="AL175" s="29"/>
      <c r="AU175" s="203" t="e">
        <f t="shared" ca="1" si="83"/>
        <v>#NAME?</v>
      </c>
      <c r="AV175" s="203">
        <f t="shared" si="76"/>
        <v>0</v>
      </c>
      <c r="AW175" s="203">
        <f t="shared" si="84"/>
        <v>950</v>
      </c>
    </row>
    <row r="176" spans="36:49" x14ac:dyDescent="0.2">
      <c r="AJ176" s="29"/>
      <c r="AK176" s="102"/>
      <c r="AL176" s="29"/>
      <c r="AU176" s="203" t="e">
        <f t="shared" ca="1" si="83"/>
        <v>#NAME?</v>
      </c>
      <c r="AV176" s="203">
        <f t="shared" si="76"/>
        <v>0</v>
      </c>
      <c r="AW176" s="203">
        <f t="shared" si="84"/>
        <v>950</v>
      </c>
    </row>
    <row r="177" spans="36:49" x14ac:dyDescent="0.2">
      <c r="AJ177" s="29"/>
      <c r="AK177" s="102"/>
      <c r="AL177" s="29"/>
      <c r="AU177" s="203" t="e">
        <f t="shared" ca="1" si="83"/>
        <v>#NAME?</v>
      </c>
      <c r="AV177" s="203">
        <f t="shared" si="76"/>
        <v>100</v>
      </c>
      <c r="AW177" s="203">
        <f t="shared" si="84"/>
        <v>950</v>
      </c>
    </row>
    <row r="178" spans="36:49" x14ac:dyDescent="0.2">
      <c r="AJ178" s="29"/>
      <c r="AK178" s="102"/>
      <c r="AL178" s="29"/>
      <c r="AU178" s="203" t="e">
        <f t="shared" ca="1" si="83"/>
        <v>#NAME?</v>
      </c>
      <c r="AV178" s="203">
        <f t="shared" si="76"/>
        <v>0</v>
      </c>
      <c r="AW178" s="203">
        <f t="shared" si="84"/>
        <v>950</v>
      </c>
    </row>
    <row r="179" spans="36:49" x14ac:dyDescent="0.2">
      <c r="AJ179" s="29"/>
      <c r="AK179" s="102"/>
      <c r="AL179" s="29"/>
      <c r="AU179" s="203" t="e">
        <f t="shared" ca="1" si="83"/>
        <v>#NAME?</v>
      </c>
      <c r="AV179" s="203">
        <f t="shared" si="76"/>
        <v>-100</v>
      </c>
      <c r="AW179" s="203">
        <f t="shared" si="84"/>
        <v>950</v>
      </c>
    </row>
    <row r="180" spans="36:49" x14ac:dyDescent="0.2">
      <c r="AJ180" s="29"/>
      <c r="AK180" s="102"/>
      <c r="AL180" s="29"/>
      <c r="AU180" s="203" t="e">
        <f t="shared" ca="1" si="83"/>
        <v>#NAME?</v>
      </c>
      <c r="AV180" s="203">
        <f t="shared" si="76"/>
        <v>-200</v>
      </c>
      <c r="AW180" s="203">
        <f t="shared" si="84"/>
        <v>950</v>
      </c>
    </row>
    <row r="181" spans="36:49" x14ac:dyDescent="0.2">
      <c r="AJ181" s="29"/>
      <c r="AK181" s="102"/>
      <c r="AL181" s="29"/>
      <c r="AU181" s="203" t="e">
        <f t="shared" ca="1" si="83"/>
        <v>#NAME?</v>
      </c>
      <c r="AV181" s="203">
        <f t="shared" si="76"/>
        <v>-300</v>
      </c>
      <c r="AW181" s="203">
        <f t="shared" si="84"/>
        <v>950</v>
      </c>
    </row>
    <row r="182" spans="36:49" x14ac:dyDescent="0.2">
      <c r="AJ182" s="29"/>
      <c r="AK182" s="102"/>
      <c r="AL182" s="29"/>
      <c r="AU182" s="203" t="e">
        <f t="shared" ca="1" si="83"/>
        <v>#NAME?</v>
      </c>
      <c r="AV182" s="203">
        <f t="shared" si="76"/>
        <v>-400</v>
      </c>
      <c r="AW182" s="203">
        <f t="shared" si="84"/>
        <v>950</v>
      </c>
    </row>
    <row r="183" spans="36:49" x14ac:dyDescent="0.2">
      <c r="AJ183" s="29"/>
      <c r="AK183" s="102"/>
      <c r="AL183" s="29"/>
      <c r="AU183" s="203" t="e">
        <f t="shared" ca="1" si="83"/>
        <v>#NAME?</v>
      </c>
      <c r="AV183" s="203">
        <f t="shared" si="76"/>
        <v>0</v>
      </c>
      <c r="AW183" s="203">
        <f t="shared" si="84"/>
        <v>950</v>
      </c>
    </row>
    <row r="184" spans="36:49" x14ac:dyDescent="0.2">
      <c r="AJ184" s="29"/>
      <c r="AK184" s="101"/>
      <c r="AL184" s="29"/>
      <c r="AU184" s="203" t="e">
        <f t="shared" ca="1" si="83"/>
        <v>#NAME?</v>
      </c>
      <c r="AV184" s="203">
        <f t="shared" si="76"/>
        <v>0</v>
      </c>
      <c r="AW184" s="203">
        <f t="shared" si="84"/>
        <v>950</v>
      </c>
    </row>
    <row r="185" spans="36:49" x14ac:dyDescent="0.2">
      <c r="AJ185" s="29"/>
      <c r="AK185" s="29"/>
      <c r="AL185" s="29"/>
      <c r="AU185" s="203" t="e">
        <f t="shared" ref="AU185:AU197" ca="1" si="85">M7</f>
        <v>#NAME?</v>
      </c>
      <c r="AV185" s="203">
        <f t="shared" si="76"/>
        <v>0</v>
      </c>
      <c r="AW185" s="203">
        <f t="shared" ref="AW185:AW197" si="86">M$6</f>
        <v>1050</v>
      </c>
    </row>
    <row r="186" spans="36:49" x14ac:dyDescent="0.2">
      <c r="AJ186" s="29"/>
      <c r="AK186" s="29"/>
      <c r="AL186" s="29"/>
      <c r="AU186" s="203" t="e">
        <f t="shared" ca="1" si="85"/>
        <v>#NAME?</v>
      </c>
      <c r="AV186" s="203">
        <f t="shared" si="76"/>
        <v>0</v>
      </c>
      <c r="AW186" s="203">
        <f t="shared" si="86"/>
        <v>1050</v>
      </c>
    </row>
    <row r="187" spans="36:49" x14ac:dyDescent="0.2">
      <c r="AJ187" s="29"/>
      <c r="AK187" s="29"/>
      <c r="AL187" s="29"/>
      <c r="AU187" s="203" t="e">
        <f t="shared" ca="1" si="85"/>
        <v>#NAME?</v>
      </c>
      <c r="AV187" s="203">
        <f t="shared" si="76"/>
        <v>0</v>
      </c>
      <c r="AW187" s="203">
        <f t="shared" si="86"/>
        <v>1050</v>
      </c>
    </row>
    <row r="188" spans="36:49" x14ac:dyDescent="0.2">
      <c r="AJ188" s="29"/>
      <c r="AK188" s="29"/>
      <c r="AL188" s="29"/>
      <c r="AU188" s="203" t="e">
        <f t="shared" ca="1" si="85"/>
        <v>#NAME?</v>
      </c>
      <c r="AV188" s="203">
        <f t="shared" si="76"/>
        <v>0</v>
      </c>
      <c r="AW188" s="203">
        <f t="shared" si="86"/>
        <v>1050</v>
      </c>
    </row>
    <row r="189" spans="36:49" x14ac:dyDescent="0.2">
      <c r="AJ189" s="29"/>
      <c r="AK189" s="29"/>
      <c r="AL189" s="29"/>
      <c r="AU189" s="203" t="e">
        <f t="shared" ca="1" si="85"/>
        <v>#NAME?</v>
      </c>
      <c r="AV189" s="203">
        <f t="shared" si="76"/>
        <v>0</v>
      </c>
      <c r="AW189" s="203">
        <f t="shared" si="86"/>
        <v>1050</v>
      </c>
    </row>
    <row r="190" spans="36:49" x14ac:dyDescent="0.2">
      <c r="AJ190" s="29"/>
      <c r="AK190" s="29"/>
      <c r="AL190" s="29"/>
      <c r="AU190" s="203" t="e">
        <f t="shared" ca="1" si="85"/>
        <v>#NAME?</v>
      </c>
      <c r="AV190" s="203">
        <f t="shared" si="76"/>
        <v>100</v>
      </c>
      <c r="AW190" s="203">
        <f t="shared" si="86"/>
        <v>1050</v>
      </c>
    </row>
    <row r="191" spans="36:49" x14ac:dyDescent="0.2">
      <c r="AJ191" s="29"/>
      <c r="AK191" s="29"/>
      <c r="AL191" s="29"/>
      <c r="AU191" s="203" t="e">
        <f t="shared" ca="1" si="85"/>
        <v>#NAME?</v>
      </c>
      <c r="AV191" s="203">
        <f t="shared" si="76"/>
        <v>0</v>
      </c>
      <c r="AW191" s="203">
        <f t="shared" si="86"/>
        <v>1050</v>
      </c>
    </row>
    <row r="192" spans="36:49" x14ac:dyDescent="0.2">
      <c r="AJ192" s="29"/>
      <c r="AK192" s="29"/>
      <c r="AL192" s="29"/>
      <c r="AU192" s="203" t="e">
        <f t="shared" ca="1" si="85"/>
        <v>#NAME?</v>
      </c>
      <c r="AV192" s="203">
        <f t="shared" si="76"/>
        <v>-100</v>
      </c>
      <c r="AW192" s="203">
        <f t="shared" si="86"/>
        <v>1050</v>
      </c>
    </row>
    <row r="193" spans="36:49" x14ac:dyDescent="0.2">
      <c r="AJ193" s="29"/>
      <c r="AK193" s="29"/>
      <c r="AL193" s="29"/>
      <c r="AU193" s="203" t="e">
        <f t="shared" ca="1" si="85"/>
        <v>#NAME?</v>
      </c>
      <c r="AV193" s="203">
        <f t="shared" si="76"/>
        <v>-200</v>
      </c>
      <c r="AW193" s="203">
        <f t="shared" si="86"/>
        <v>1050</v>
      </c>
    </row>
    <row r="194" spans="36:49" x14ac:dyDescent="0.2">
      <c r="AJ194" s="29"/>
      <c r="AK194" s="29"/>
      <c r="AL194" s="29"/>
      <c r="AU194" s="203" t="e">
        <f t="shared" ca="1" si="85"/>
        <v>#NAME?</v>
      </c>
      <c r="AV194" s="203">
        <f t="shared" si="76"/>
        <v>-300</v>
      </c>
      <c r="AW194" s="203">
        <f t="shared" si="86"/>
        <v>1050</v>
      </c>
    </row>
    <row r="195" spans="36:49" x14ac:dyDescent="0.2">
      <c r="AJ195" s="29"/>
      <c r="AK195" s="29"/>
      <c r="AL195" s="29"/>
      <c r="AU195" s="203" t="e">
        <f t="shared" ca="1" si="85"/>
        <v>#NAME?</v>
      </c>
      <c r="AV195" s="203">
        <f t="shared" si="76"/>
        <v>-400</v>
      </c>
      <c r="AW195" s="203">
        <f t="shared" si="86"/>
        <v>1050</v>
      </c>
    </row>
    <row r="196" spans="36:49" x14ac:dyDescent="0.2">
      <c r="AJ196" s="29"/>
      <c r="AK196" s="29"/>
      <c r="AL196" s="29"/>
      <c r="AU196" s="203" t="e">
        <f t="shared" ca="1" si="85"/>
        <v>#NAME?</v>
      </c>
      <c r="AV196" s="203">
        <f t="shared" ref="AV196:AV259" si="87">AV183</f>
        <v>0</v>
      </c>
      <c r="AW196" s="203">
        <f t="shared" si="86"/>
        <v>1050</v>
      </c>
    </row>
    <row r="197" spans="36:49" x14ac:dyDescent="0.2">
      <c r="AJ197" s="29"/>
      <c r="AL197" s="29"/>
      <c r="AU197" s="203" t="e">
        <f t="shared" ca="1" si="85"/>
        <v>#NAME?</v>
      </c>
      <c r="AV197" s="203">
        <f t="shared" si="87"/>
        <v>0</v>
      </c>
      <c r="AW197" s="203">
        <f t="shared" si="86"/>
        <v>1050</v>
      </c>
    </row>
    <row r="198" spans="36:49" x14ac:dyDescent="0.2">
      <c r="AJ198" s="29"/>
      <c r="AK198" s="102"/>
      <c r="AL198" s="29"/>
      <c r="AU198" s="203" t="e">
        <f t="shared" ref="AU198:AU210" ca="1" si="88">N7</f>
        <v>#NAME?</v>
      </c>
      <c r="AV198" s="203">
        <f t="shared" si="87"/>
        <v>0</v>
      </c>
      <c r="AW198" s="203">
        <f t="shared" ref="AW198:AW210" si="89">N$6</f>
        <v>1150</v>
      </c>
    </row>
    <row r="199" spans="36:49" x14ac:dyDescent="0.2">
      <c r="AJ199" s="29"/>
      <c r="AK199" s="102"/>
      <c r="AL199" s="29"/>
      <c r="AU199" s="203" t="e">
        <f t="shared" ca="1" si="88"/>
        <v>#NAME?</v>
      </c>
      <c r="AV199" s="203">
        <f t="shared" si="87"/>
        <v>0</v>
      </c>
      <c r="AW199" s="203">
        <f t="shared" si="89"/>
        <v>1150</v>
      </c>
    </row>
    <row r="200" spans="36:49" x14ac:dyDescent="0.2">
      <c r="AJ200" s="29"/>
      <c r="AK200" s="102"/>
      <c r="AL200" s="29"/>
      <c r="AU200" s="203" t="e">
        <f t="shared" ca="1" si="88"/>
        <v>#NAME?</v>
      </c>
      <c r="AV200" s="203">
        <f t="shared" si="87"/>
        <v>0</v>
      </c>
      <c r="AW200" s="203">
        <f t="shared" si="89"/>
        <v>1150</v>
      </c>
    </row>
    <row r="201" spans="36:49" x14ac:dyDescent="0.2">
      <c r="AJ201" s="29"/>
      <c r="AK201" s="102"/>
      <c r="AL201" s="29"/>
      <c r="AU201" s="203" t="e">
        <f t="shared" ca="1" si="88"/>
        <v>#NAME?</v>
      </c>
      <c r="AV201" s="203">
        <f t="shared" si="87"/>
        <v>0</v>
      </c>
      <c r="AW201" s="203">
        <f t="shared" si="89"/>
        <v>1150</v>
      </c>
    </row>
    <row r="202" spans="36:49" x14ac:dyDescent="0.2">
      <c r="AJ202" s="29"/>
      <c r="AK202" s="102"/>
      <c r="AL202" s="29"/>
      <c r="AU202" s="203" t="e">
        <f t="shared" ca="1" si="88"/>
        <v>#NAME?</v>
      </c>
      <c r="AV202" s="203">
        <f t="shared" si="87"/>
        <v>0</v>
      </c>
      <c r="AW202" s="203">
        <f t="shared" si="89"/>
        <v>1150</v>
      </c>
    </row>
    <row r="203" spans="36:49" x14ac:dyDescent="0.2">
      <c r="AJ203" s="29"/>
      <c r="AK203" s="102"/>
      <c r="AL203" s="29"/>
      <c r="AU203" s="203" t="e">
        <f t="shared" ca="1" si="88"/>
        <v>#NAME?</v>
      </c>
      <c r="AV203" s="203">
        <f t="shared" si="87"/>
        <v>100</v>
      </c>
      <c r="AW203" s="203">
        <f t="shared" si="89"/>
        <v>1150</v>
      </c>
    </row>
    <row r="204" spans="36:49" x14ac:dyDescent="0.2">
      <c r="AJ204" s="29"/>
      <c r="AK204" s="102"/>
      <c r="AL204" s="29"/>
      <c r="AU204" s="203" t="e">
        <f t="shared" ca="1" si="88"/>
        <v>#NAME?</v>
      </c>
      <c r="AV204" s="203">
        <f t="shared" si="87"/>
        <v>0</v>
      </c>
      <c r="AW204" s="203">
        <f t="shared" si="89"/>
        <v>1150</v>
      </c>
    </row>
    <row r="205" spans="36:49" x14ac:dyDescent="0.2">
      <c r="AJ205" s="29"/>
      <c r="AK205" s="102"/>
      <c r="AL205" s="29"/>
      <c r="AU205" s="203" t="e">
        <f t="shared" ca="1" si="88"/>
        <v>#NAME?</v>
      </c>
      <c r="AV205" s="203">
        <f t="shared" si="87"/>
        <v>-100</v>
      </c>
      <c r="AW205" s="203">
        <f t="shared" si="89"/>
        <v>1150</v>
      </c>
    </row>
    <row r="206" spans="36:49" x14ac:dyDescent="0.2">
      <c r="AJ206" s="29"/>
      <c r="AK206" s="102"/>
      <c r="AL206" s="29"/>
      <c r="AU206" s="203" t="e">
        <f t="shared" ca="1" si="88"/>
        <v>#NAME?</v>
      </c>
      <c r="AV206" s="203">
        <f t="shared" si="87"/>
        <v>-200</v>
      </c>
      <c r="AW206" s="203">
        <f t="shared" si="89"/>
        <v>1150</v>
      </c>
    </row>
    <row r="207" spans="36:49" x14ac:dyDescent="0.2">
      <c r="AJ207" s="29"/>
      <c r="AK207" s="102"/>
      <c r="AL207" s="29"/>
      <c r="AU207" s="203" t="e">
        <f t="shared" ca="1" si="88"/>
        <v>#NAME?</v>
      </c>
      <c r="AV207" s="203">
        <f t="shared" si="87"/>
        <v>-300</v>
      </c>
      <c r="AW207" s="203">
        <f t="shared" si="89"/>
        <v>1150</v>
      </c>
    </row>
    <row r="208" spans="36:49" x14ac:dyDescent="0.2">
      <c r="AJ208" s="29"/>
      <c r="AK208" s="102"/>
      <c r="AL208" s="29"/>
      <c r="AU208" s="203" t="e">
        <f t="shared" ca="1" si="88"/>
        <v>#NAME?</v>
      </c>
      <c r="AV208" s="203">
        <f t="shared" si="87"/>
        <v>-400</v>
      </c>
      <c r="AW208" s="203">
        <f t="shared" si="89"/>
        <v>1150</v>
      </c>
    </row>
    <row r="209" spans="36:49" x14ac:dyDescent="0.2">
      <c r="AJ209" s="29"/>
      <c r="AK209" s="102"/>
      <c r="AL209" s="29"/>
      <c r="AU209" s="203" t="e">
        <f t="shared" ca="1" si="88"/>
        <v>#NAME?</v>
      </c>
      <c r="AV209" s="203">
        <f t="shared" si="87"/>
        <v>0</v>
      </c>
      <c r="AW209" s="203">
        <f t="shared" si="89"/>
        <v>1150</v>
      </c>
    </row>
    <row r="210" spans="36:49" x14ac:dyDescent="0.2">
      <c r="AJ210" s="29"/>
      <c r="AK210" s="101"/>
      <c r="AL210" s="29"/>
      <c r="AU210" s="203" t="e">
        <f t="shared" ca="1" si="88"/>
        <v>#NAME?</v>
      </c>
      <c r="AV210" s="203">
        <f t="shared" si="87"/>
        <v>0</v>
      </c>
      <c r="AW210" s="203">
        <f t="shared" si="89"/>
        <v>1150</v>
      </c>
    </row>
    <row r="211" spans="36:49" x14ac:dyDescent="0.2">
      <c r="AJ211" s="29"/>
      <c r="AK211" s="29"/>
      <c r="AL211" s="29"/>
      <c r="AU211" s="203" t="e">
        <f t="shared" ref="AU211:AU223" ca="1" si="90">O7</f>
        <v>#NAME?</v>
      </c>
      <c r="AV211" s="203">
        <f t="shared" si="87"/>
        <v>0</v>
      </c>
      <c r="AW211" s="203">
        <f t="shared" ref="AW211:AW223" si="91">O$6</f>
        <v>1250</v>
      </c>
    </row>
    <row r="212" spans="36:49" x14ac:dyDescent="0.2">
      <c r="AJ212" s="29"/>
      <c r="AK212" s="29"/>
      <c r="AL212" s="29"/>
      <c r="AU212" s="203" t="e">
        <f t="shared" ca="1" si="90"/>
        <v>#NAME?</v>
      </c>
      <c r="AV212" s="203">
        <f t="shared" si="87"/>
        <v>0</v>
      </c>
      <c r="AW212" s="203">
        <f t="shared" si="91"/>
        <v>1250</v>
      </c>
    </row>
    <row r="213" spans="36:49" x14ac:dyDescent="0.2">
      <c r="AJ213" s="29"/>
      <c r="AK213" s="29"/>
      <c r="AL213" s="29"/>
      <c r="AU213" s="203" t="e">
        <f t="shared" ca="1" si="90"/>
        <v>#NAME?</v>
      </c>
      <c r="AV213" s="203">
        <f t="shared" si="87"/>
        <v>0</v>
      </c>
      <c r="AW213" s="203">
        <f t="shared" si="91"/>
        <v>1250</v>
      </c>
    </row>
    <row r="214" spans="36:49" x14ac:dyDescent="0.2">
      <c r="AJ214" s="29"/>
      <c r="AK214" s="29"/>
      <c r="AL214" s="29"/>
      <c r="AU214" s="203" t="e">
        <f t="shared" ca="1" si="90"/>
        <v>#NAME?</v>
      </c>
      <c r="AV214" s="203">
        <f t="shared" si="87"/>
        <v>0</v>
      </c>
      <c r="AW214" s="203">
        <f t="shared" si="91"/>
        <v>1250</v>
      </c>
    </row>
    <row r="215" spans="36:49" x14ac:dyDescent="0.2">
      <c r="AJ215" s="29"/>
      <c r="AK215" s="29"/>
      <c r="AL215" s="29"/>
      <c r="AU215" s="203" t="e">
        <f t="shared" ca="1" si="90"/>
        <v>#NAME?</v>
      </c>
      <c r="AV215" s="203">
        <f t="shared" si="87"/>
        <v>0</v>
      </c>
      <c r="AW215" s="203">
        <f t="shared" si="91"/>
        <v>1250</v>
      </c>
    </row>
    <row r="216" spans="36:49" x14ac:dyDescent="0.2">
      <c r="AJ216" s="29"/>
      <c r="AK216" s="29"/>
      <c r="AL216" s="29"/>
      <c r="AU216" s="203" t="e">
        <f t="shared" ca="1" si="90"/>
        <v>#NAME?</v>
      </c>
      <c r="AV216" s="203">
        <f t="shared" si="87"/>
        <v>100</v>
      </c>
      <c r="AW216" s="203">
        <f t="shared" si="91"/>
        <v>1250</v>
      </c>
    </row>
    <row r="217" spans="36:49" x14ac:dyDescent="0.2">
      <c r="AJ217" s="29"/>
      <c r="AK217" s="29"/>
      <c r="AL217" s="29"/>
      <c r="AU217" s="203" t="e">
        <f t="shared" ca="1" si="90"/>
        <v>#NAME?</v>
      </c>
      <c r="AV217" s="203">
        <f t="shared" si="87"/>
        <v>0</v>
      </c>
      <c r="AW217" s="203">
        <f t="shared" si="91"/>
        <v>1250</v>
      </c>
    </row>
    <row r="218" spans="36:49" x14ac:dyDescent="0.2">
      <c r="AJ218" s="29"/>
      <c r="AK218" s="29"/>
      <c r="AL218" s="29"/>
      <c r="AU218" s="203" t="e">
        <f t="shared" ca="1" si="90"/>
        <v>#NAME?</v>
      </c>
      <c r="AV218" s="203">
        <f t="shared" si="87"/>
        <v>-100</v>
      </c>
      <c r="AW218" s="203">
        <f t="shared" si="91"/>
        <v>1250</v>
      </c>
    </row>
    <row r="219" spans="36:49" x14ac:dyDescent="0.2">
      <c r="AJ219" s="29"/>
      <c r="AK219" s="29"/>
      <c r="AL219" s="29"/>
      <c r="AU219" s="203" t="e">
        <f t="shared" ca="1" si="90"/>
        <v>#NAME?</v>
      </c>
      <c r="AV219" s="203">
        <f t="shared" si="87"/>
        <v>-200</v>
      </c>
      <c r="AW219" s="203">
        <f t="shared" si="91"/>
        <v>1250</v>
      </c>
    </row>
    <row r="220" spans="36:49" x14ac:dyDescent="0.2">
      <c r="AJ220" s="29"/>
      <c r="AK220" s="29"/>
      <c r="AL220" s="29"/>
      <c r="AU220" s="203" t="e">
        <f t="shared" ca="1" si="90"/>
        <v>#NAME?</v>
      </c>
      <c r="AV220" s="203">
        <f t="shared" si="87"/>
        <v>-300</v>
      </c>
      <c r="AW220" s="203">
        <f t="shared" si="91"/>
        <v>1250</v>
      </c>
    </row>
    <row r="221" spans="36:49" x14ac:dyDescent="0.2">
      <c r="AJ221" s="29"/>
      <c r="AK221" s="29"/>
      <c r="AL221" s="29"/>
      <c r="AU221" s="203" t="e">
        <f t="shared" ca="1" si="90"/>
        <v>#NAME?</v>
      </c>
      <c r="AV221" s="203">
        <f t="shared" si="87"/>
        <v>-400</v>
      </c>
      <c r="AW221" s="203">
        <f t="shared" si="91"/>
        <v>1250</v>
      </c>
    </row>
    <row r="222" spans="36:49" x14ac:dyDescent="0.2">
      <c r="AJ222" s="29"/>
      <c r="AK222" s="29"/>
      <c r="AL222" s="29"/>
      <c r="AU222" s="203" t="e">
        <f t="shared" ca="1" si="90"/>
        <v>#NAME?</v>
      </c>
      <c r="AV222" s="203">
        <f t="shared" si="87"/>
        <v>0</v>
      </c>
      <c r="AW222" s="203">
        <f t="shared" si="91"/>
        <v>1250</v>
      </c>
    </row>
    <row r="223" spans="36:49" x14ac:dyDescent="0.2">
      <c r="AJ223" s="29"/>
      <c r="AL223" s="29"/>
      <c r="AU223" s="203" t="e">
        <f t="shared" ca="1" si="90"/>
        <v>#NAME?</v>
      </c>
      <c r="AV223" s="203">
        <f t="shared" si="87"/>
        <v>0</v>
      </c>
      <c r="AW223" s="203">
        <f t="shared" si="91"/>
        <v>1250</v>
      </c>
    </row>
    <row r="224" spans="36:49" x14ac:dyDescent="0.2">
      <c r="AJ224" s="29"/>
      <c r="AK224" s="102"/>
      <c r="AL224" s="29"/>
      <c r="AU224" s="203" t="e">
        <f t="shared" ref="AU224:AU236" ca="1" si="92">P7</f>
        <v>#NAME?</v>
      </c>
      <c r="AV224" s="203">
        <f t="shared" si="87"/>
        <v>0</v>
      </c>
      <c r="AW224" s="203">
        <f t="shared" ref="AW224:AW236" si="93">P$6</f>
        <v>1350</v>
      </c>
    </row>
    <row r="225" spans="36:49" x14ac:dyDescent="0.2">
      <c r="AJ225" s="29"/>
      <c r="AK225" s="102"/>
      <c r="AL225" s="29"/>
      <c r="AU225" s="203" t="e">
        <f t="shared" ca="1" si="92"/>
        <v>#NAME?</v>
      </c>
      <c r="AV225" s="203">
        <f t="shared" si="87"/>
        <v>0</v>
      </c>
      <c r="AW225" s="203">
        <f t="shared" si="93"/>
        <v>1350</v>
      </c>
    </row>
    <row r="226" spans="36:49" x14ac:dyDescent="0.2">
      <c r="AJ226" s="29"/>
      <c r="AK226" s="102"/>
      <c r="AL226" s="29"/>
      <c r="AU226" s="203" t="e">
        <f t="shared" ca="1" si="92"/>
        <v>#NAME?</v>
      </c>
      <c r="AV226" s="203">
        <f t="shared" si="87"/>
        <v>0</v>
      </c>
      <c r="AW226" s="203">
        <f t="shared" si="93"/>
        <v>1350</v>
      </c>
    </row>
    <row r="227" spans="36:49" x14ac:dyDescent="0.2">
      <c r="AJ227" s="29"/>
      <c r="AK227" s="102"/>
      <c r="AL227" s="29"/>
      <c r="AU227" s="203" t="e">
        <f t="shared" ca="1" si="92"/>
        <v>#NAME?</v>
      </c>
      <c r="AV227" s="203">
        <f t="shared" si="87"/>
        <v>0</v>
      </c>
      <c r="AW227" s="203">
        <f t="shared" si="93"/>
        <v>1350</v>
      </c>
    </row>
    <row r="228" spans="36:49" x14ac:dyDescent="0.2">
      <c r="AJ228" s="29"/>
      <c r="AK228" s="102"/>
      <c r="AL228" s="29"/>
      <c r="AU228" s="203" t="e">
        <f t="shared" ca="1" si="92"/>
        <v>#NAME?</v>
      </c>
      <c r="AV228" s="203">
        <f t="shared" si="87"/>
        <v>0</v>
      </c>
      <c r="AW228" s="203">
        <f t="shared" si="93"/>
        <v>1350</v>
      </c>
    </row>
    <row r="229" spans="36:49" x14ac:dyDescent="0.2">
      <c r="AJ229" s="29"/>
      <c r="AK229" s="102"/>
      <c r="AL229" s="29"/>
      <c r="AU229" s="203" t="e">
        <f t="shared" ca="1" si="92"/>
        <v>#NAME?</v>
      </c>
      <c r="AV229" s="203">
        <f t="shared" si="87"/>
        <v>100</v>
      </c>
      <c r="AW229" s="203">
        <f t="shared" si="93"/>
        <v>1350</v>
      </c>
    </row>
    <row r="230" spans="36:49" x14ac:dyDescent="0.2">
      <c r="AJ230" s="29"/>
      <c r="AK230" s="102"/>
      <c r="AL230" s="29"/>
      <c r="AU230" s="203" t="e">
        <f t="shared" ca="1" si="92"/>
        <v>#NAME?</v>
      </c>
      <c r="AV230" s="203">
        <f t="shared" si="87"/>
        <v>0</v>
      </c>
      <c r="AW230" s="203">
        <f t="shared" si="93"/>
        <v>1350</v>
      </c>
    </row>
    <row r="231" spans="36:49" x14ac:dyDescent="0.2">
      <c r="AJ231" s="29"/>
      <c r="AK231" s="102"/>
      <c r="AL231" s="29"/>
      <c r="AU231" s="203" t="e">
        <f t="shared" ca="1" si="92"/>
        <v>#NAME?</v>
      </c>
      <c r="AV231" s="203">
        <f t="shared" si="87"/>
        <v>-100</v>
      </c>
      <c r="AW231" s="203">
        <f t="shared" si="93"/>
        <v>1350</v>
      </c>
    </row>
    <row r="232" spans="36:49" x14ac:dyDescent="0.2">
      <c r="AJ232" s="29"/>
      <c r="AK232" s="102"/>
      <c r="AL232" s="29"/>
      <c r="AU232" s="203" t="e">
        <f t="shared" ca="1" si="92"/>
        <v>#NAME?</v>
      </c>
      <c r="AV232" s="203">
        <f t="shared" si="87"/>
        <v>-200</v>
      </c>
      <c r="AW232" s="203">
        <f t="shared" si="93"/>
        <v>1350</v>
      </c>
    </row>
    <row r="233" spans="36:49" x14ac:dyDescent="0.2">
      <c r="AJ233" s="29"/>
      <c r="AK233" s="102"/>
      <c r="AL233" s="29"/>
      <c r="AU233" s="203" t="e">
        <f t="shared" ca="1" si="92"/>
        <v>#NAME?</v>
      </c>
      <c r="AV233" s="203">
        <f t="shared" si="87"/>
        <v>-300</v>
      </c>
      <c r="AW233" s="203">
        <f t="shared" si="93"/>
        <v>1350</v>
      </c>
    </row>
    <row r="234" spans="36:49" x14ac:dyDescent="0.2">
      <c r="AJ234" s="29"/>
      <c r="AK234" s="102"/>
      <c r="AL234" s="29"/>
      <c r="AU234" s="203" t="e">
        <f t="shared" ca="1" si="92"/>
        <v>#NAME?</v>
      </c>
      <c r="AV234" s="203">
        <f t="shared" si="87"/>
        <v>-400</v>
      </c>
      <c r="AW234" s="203">
        <f t="shared" si="93"/>
        <v>1350</v>
      </c>
    </row>
    <row r="235" spans="36:49" x14ac:dyDescent="0.2">
      <c r="AJ235" s="29"/>
      <c r="AK235" s="102"/>
      <c r="AL235" s="29"/>
      <c r="AU235" s="203" t="e">
        <f t="shared" ca="1" si="92"/>
        <v>#NAME?</v>
      </c>
      <c r="AV235" s="203">
        <f t="shared" si="87"/>
        <v>0</v>
      </c>
      <c r="AW235" s="203">
        <f t="shared" si="93"/>
        <v>1350</v>
      </c>
    </row>
    <row r="236" spans="36:49" x14ac:dyDescent="0.2">
      <c r="AJ236" s="29"/>
      <c r="AK236" s="101"/>
      <c r="AL236" s="29"/>
      <c r="AU236" s="203" t="e">
        <f t="shared" ca="1" si="92"/>
        <v>#NAME?</v>
      </c>
      <c r="AV236" s="203">
        <f t="shared" si="87"/>
        <v>0</v>
      </c>
      <c r="AW236" s="203">
        <f t="shared" si="93"/>
        <v>1350</v>
      </c>
    </row>
    <row r="237" spans="36:49" x14ac:dyDescent="0.2">
      <c r="AJ237" s="29"/>
      <c r="AK237" s="29"/>
      <c r="AL237" s="29"/>
      <c r="AU237" s="203" t="e">
        <f t="shared" ref="AU237:AU249" ca="1" si="94">Q7</f>
        <v>#NAME?</v>
      </c>
      <c r="AV237" s="203">
        <f t="shared" si="87"/>
        <v>0</v>
      </c>
      <c r="AW237" s="203">
        <f t="shared" ref="AW237:AW249" si="95">Q$6</f>
        <v>1450</v>
      </c>
    </row>
    <row r="238" spans="36:49" x14ac:dyDescent="0.2">
      <c r="AJ238" s="29"/>
      <c r="AK238" s="29"/>
      <c r="AL238" s="29"/>
      <c r="AU238" s="203" t="e">
        <f t="shared" ca="1" si="94"/>
        <v>#NAME?</v>
      </c>
      <c r="AV238" s="203">
        <f t="shared" si="87"/>
        <v>0</v>
      </c>
      <c r="AW238" s="203">
        <f t="shared" si="95"/>
        <v>1450</v>
      </c>
    </row>
    <row r="239" spans="36:49" x14ac:dyDescent="0.2">
      <c r="AJ239" s="29"/>
      <c r="AK239" s="29"/>
      <c r="AL239" s="29"/>
      <c r="AU239" s="203" t="e">
        <f t="shared" ca="1" si="94"/>
        <v>#NAME?</v>
      </c>
      <c r="AV239" s="203">
        <f t="shared" si="87"/>
        <v>0</v>
      </c>
      <c r="AW239" s="203">
        <f t="shared" si="95"/>
        <v>1450</v>
      </c>
    </row>
    <row r="240" spans="36:49" x14ac:dyDescent="0.2">
      <c r="AJ240" s="29"/>
      <c r="AK240" s="29"/>
      <c r="AL240" s="29"/>
      <c r="AU240" s="203" t="e">
        <f t="shared" ca="1" si="94"/>
        <v>#NAME?</v>
      </c>
      <c r="AV240" s="203">
        <f t="shared" si="87"/>
        <v>0</v>
      </c>
      <c r="AW240" s="203">
        <f t="shared" si="95"/>
        <v>1450</v>
      </c>
    </row>
    <row r="241" spans="36:49" x14ac:dyDescent="0.2">
      <c r="AJ241" s="29"/>
      <c r="AK241" s="29"/>
      <c r="AL241" s="29"/>
      <c r="AU241" s="203" t="e">
        <f t="shared" ca="1" si="94"/>
        <v>#NAME?</v>
      </c>
      <c r="AV241" s="203">
        <f t="shared" si="87"/>
        <v>0</v>
      </c>
      <c r="AW241" s="203">
        <f t="shared" si="95"/>
        <v>1450</v>
      </c>
    </row>
    <row r="242" spans="36:49" x14ac:dyDescent="0.2">
      <c r="AJ242" s="29"/>
      <c r="AK242" s="29"/>
      <c r="AL242" s="29"/>
      <c r="AU242" s="203" t="e">
        <f t="shared" ca="1" si="94"/>
        <v>#NAME?</v>
      </c>
      <c r="AV242" s="203">
        <f t="shared" si="87"/>
        <v>100</v>
      </c>
      <c r="AW242" s="203">
        <f t="shared" si="95"/>
        <v>1450</v>
      </c>
    </row>
    <row r="243" spans="36:49" x14ac:dyDescent="0.2">
      <c r="AJ243" s="29"/>
      <c r="AK243" s="29"/>
      <c r="AL243" s="29"/>
      <c r="AU243" s="203" t="e">
        <f t="shared" ca="1" si="94"/>
        <v>#NAME?</v>
      </c>
      <c r="AV243" s="203">
        <f t="shared" si="87"/>
        <v>0</v>
      </c>
      <c r="AW243" s="203">
        <f t="shared" si="95"/>
        <v>1450</v>
      </c>
    </row>
    <row r="244" spans="36:49" x14ac:dyDescent="0.2">
      <c r="AJ244" s="29"/>
      <c r="AK244" s="29"/>
      <c r="AL244" s="29"/>
      <c r="AU244" s="203" t="e">
        <f t="shared" ca="1" si="94"/>
        <v>#NAME?</v>
      </c>
      <c r="AV244" s="203">
        <f t="shared" si="87"/>
        <v>-100</v>
      </c>
      <c r="AW244" s="203">
        <f t="shared" si="95"/>
        <v>1450</v>
      </c>
    </row>
    <row r="245" spans="36:49" x14ac:dyDescent="0.2">
      <c r="AJ245" s="29"/>
      <c r="AK245" s="29"/>
      <c r="AL245" s="29"/>
      <c r="AU245" s="203" t="e">
        <f t="shared" ca="1" si="94"/>
        <v>#NAME?</v>
      </c>
      <c r="AV245" s="203">
        <f t="shared" si="87"/>
        <v>-200</v>
      </c>
      <c r="AW245" s="203">
        <f t="shared" si="95"/>
        <v>1450</v>
      </c>
    </row>
    <row r="246" spans="36:49" x14ac:dyDescent="0.2">
      <c r="AJ246" s="29"/>
      <c r="AK246" s="29"/>
      <c r="AL246" s="29"/>
      <c r="AU246" s="203" t="e">
        <f t="shared" ca="1" si="94"/>
        <v>#NAME?</v>
      </c>
      <c r="AV246" s="203">
        <f t="shared" si="87"/>
        <v>-300</v>
      </c>
      <c r="AW246" s="203">
        <f t="shared" si="95"/>
        <v>1450</v>
      </c>
    </row>
    <row r="247" spans="36:49" x14ac:dyDescent="0.2">
      <c r="AJ247" s="29"/>
      <c r="AK247" s="29"/>
      <c r="AL247" s="29"/>
      <c r="AU247" s="203" t="e">
        <f t="shared" ca="1" si="94"/>
        <v>#NAME?</v>
      </c>
      <c r="AV247" s="203">
        <f t="shared" si="87"/>
        <v>-400</v>
      </c>
      <c r="AW247" s="203">
        <f t="shared" si="95"/>
        <v>1450</v>
      </c>
    </row>
    <row r="248" spans="36:49" x14ac:dyDescent="0.2">
      <c r="AJ248" s="29"/>
      <c r="AK248" s="29"/>
      <c r="AL248" s="29"/>
      <c r="AU248" s="203" t="e">
        <f t="shared" ca="1" si="94"/>
        <v>#NAME?</v>
      </c>
      <c r="AV248" s="203">
        <f t="shared" si="87"/>
        <v>0</v>
      </c>
      <c r="AW248" s="203">
        <f t="shared" si="95"/>
        <v>1450</v>
      </c>
    </row>
    <row r="249" spans="36:49" x14ac:dyDescent="0.2">
      <c r="AJ249" s="29"/>
      <c r="AL249" s="29"/>
      <c r="AU249" s="203" t="e">
        <f t="shared" ca="1" si="94"/>
        <v>#NAME?</v>
      </c>
      <c r="AV249" s="203">
        <f t="shared" si="87"/>
        <v>0</v>
      </c>
      <c r="AW249" s="203">
        <f t="shared" si="95"/>
        <v>1450</v>
      </c>
    </row>
    <row r="250" spans="36:49" x14ac:dyDescent="0.2">
      <c r="AJ250" s="29"/>
      <c r="AK250" s="102"/>
      <c r="AL250" s="29"/>
      <c r="AU250" s="203" t="e">
        <f t="shared" ref="AU250:AU262" ca="1" si="96">R7</f>
        <v>#NAME?</v>
      </c>
      <c r="AV250" s="203">
        <f t="shared" si="87"/>
        <v>0</v>
      </c>
      <c r="AW250" s="203">
        <f t="shared" ref="AW250:AW262" si="97">R$6</f>
        <v>1550</v>
      </c>
    </row>
    <row r="251" spans="36:49" x14ac:dyDescent="0.2">
      <c r="AJ251" s="29"/>
      <c r="AK251" s="102"/>
      <c r="AL251" s="29"/>
      <c r="AU251" s="203" t="e">
        <f t="shared" ca="1" si="96"/>
        <v>#NAME?</v>
      </c>
      <c r="AV251" s="203">
        <f t="shared" si="87"/>
        <v>0</v>
      </c>
      <c r="AW251" s="203">
        <f t="shared" si="97"/>
        <v>1550</v>
      </c>
    </row>
    <row r="252" spans="36:49" x14ac:dyDescent="0.2">
      <c r="AJ252" s="29"/>
      <c r="AK252" s="102"/>
      <c r="AL252" s="29"/>
      <c r="AU252" s="203" t="e">
        <f t="shared" ca="1" si="96"/>
        <v>#NAME?</v>
      </c>
      <c r="AV252" s="203">
        <f t="shared" si="87"/>
        <v>0</v>
      </c>
      <c r="AW252" s="203">
        <f t="shared" si="97"/>
        <v>1550</v>
      </c>
    </row>
    <row r="253" spans="36:49" x14ac:dyDescent="0.2">
      <c r="AJ253" s="29"/>
      <c r="AK253" s="102"/>
      <c r="AL253" s="29"/>
      <c r="AU253" s="203" t="e">
        <f t="shared" ca="1" si="96"/>
        <v>#NAME?</v>
      </c>
      <c r="AV253" s="203">
        <f t="shared" si="87"/>
        <v>0</v>
      </c>
      <c r="AW253" s="203">
        <f t="shared" si="97"/>
        <v>1550</v>
      </c>
    </row>
    <row r="254" spans="36:49" x14ac:dyDescent="0.2">
      <c r="AJ254" s="29"/>
      <c r="AK254" s="102"/>
      <c r="AL254" s="29"/>
      <c r="AU254" s="203" t="e">
        <f t="shared" ca="1" si="96"/>
        <v>#NAME?</v>
      </c>
      <c r="AV254" s="203">
        <f t="shared" si="87"/>
        <v>0</v>
      </c>
      <c r="AW254" s="203">
        <f t="shared" si="97"/>
        <v>1550</v>
      </c>
    </row>
    <row r="255" spans="36:49" x14ac:dyDescent="0.2">
      <c r="AJ255" s="29"/>
      <c r="AK255" s="102"/>
      <c r="AL255" s="29"/>
      <c r="AU255" s="203" t="e">
        <f t="shared" ca="1" si="96"/>
        <v>#NAME?</v>
      </c>
      <c r="AV255" s="203">
        <f t="shared" si="87"/>
        <v>100</v>
      </c>
      <c r="AW255" s="203">
        <f t="shared" si="97"/>
        <v>1550</v>
      </c>
    </row>
    <row r="256" spans="36:49" x14ac:dyDescent="0.2">
      <c r="AJ256" s="29"/>
      <c r="AK256" s="102"/>
      <c r="AL256" s="29"/>
      <c r="AU256" s="203" t="e">
        <f t="shared" ca="1" si="96"/>
        <v>#NAME?</v>
      </c>
      <c r="AV256" s="203">
        <f t="shared" si="87"/>
        <v>0</v>
      </c>
      <c r="AW256" s="203">
        <f t="shared" si="97"/>
        <v>1550</v>
      </c>
    </row>
    <row r="257" spans="36:49" x14ac:dyDescent="0.2">
      <c r="AJ257" s="29"/>
      <c r="AK257" s="102"/>
      <c r="AL257" s="29"/>
      <c r="AU257" s="203" t="e">
        <f t="shared" ca="1" si="96"/>
        <v>#NAME?</v>
      </c>
      <c r="AV257" s="203">
        <f t="shared" si="87"/>
        <v>-100</v>
      </c>
      <c r="AW257" s="203">
        <f t="shared" si="97"/>
        <v>1550</v>
      </c>
    </row>
    <row r="258" spans="36:49" x14ac:dyDescent="0.2">
      <c r="AJ258" s="29"/>
      <c r="AK258" s="102"/>
      <c r="AL258" s="29"/>
      <c r="AU258" s="203" t="e">
        <f t="shared" ca="1" si="96"/>
        <v>#NAME?</v>
      </c>
      <c r="AV258" s="203">
        <f t="shared" si="87"/>
        <v>-200</v>
      </c>
      <c r="AW258" s="203">
        <f t="shared" si="97"/>
        <v>1550</v>
      </c>
    </row>
    <row r="259" spans="36:49" x14ac:dyDescent="0.2">
      <c r="AJ259" s="29"/>
      <c r="AK259" s="102"/>
      <c r="AL259" s="29"/>
      <c r="AU259" s="203" t="e">
        <f t="shared" ca="1" si="96"/>
        <v>#NAME?</v>
      </c>
      <c r="AV259" s="203">
        <f t="shared" si="87"/>
        <v>-300</v>
      </c>
      <c r="AW259" s="203">
        <f t="shared" si="97"/>
        <v>1550</v>
      </c>
    </row>
    <row r="260" spans="36:49" x14ac:dyDescent="0.2">
      <c r="AJ260" s="29"/>
      <c r="AK260" s="102"/>
      <c r="AL260" s="29"/>
      <c r="AU260" s="203" t="e">
        <f t="shared" ca="1" si="96"/>
        <v>#NAME?</v>
      </c>
      <c r="AV260" s="203">
        <f t="shared" ref="AV260:AV323" si="98">AV247</f>
        <v>-400</v>
      </c>
      <c r="AW260" s="203">
        <f t="shared" si="97"/>
        <v>1550</v>
      </c>
    </row>
    <row r="261" spans="36:49" x14ac:dyDescent="0.2">
      <c r="AJ261" s="29"/>
      <c r="AK261" s="102"/>
      <c r="AL261" s="29"/>
      <c r="AU261" s="203" t="e">
        <f t="shared" ca="1" si="96"/>
        <v>#NAME?</v>
      </c>
      <c r="AV261" s="203">
        <f t="shared" si="98"/>
        <v>0</v>
      </c>
      <c r="AW261" s="203">
        <f t="shared" si="97"/>
        <v>1550</v>
      </c>
    </row>
    <row r="262" spans="36:49" x14ac:dyDescent="0.2">
      <c r="AJ262" s="29"/>
      <c r="AK262" s="101"/>
      <c r="AL262" s="29"/>
      <c r="AU262" s="203" t="e">
        <f t="shared" ca="1" si="96"/>
        <v>#NAME?</v>
      </c>
      <c r="AV262" s="203">
        <f t="shared" si="98"/>
        <v>0</v>
      </c>
      <c r="AW262" s="203">
        <f t="shared" si="97"/>
        <v>1550</v>
      </c>
    </row>
    <row r="263" spans="36:49" x14ac:dyDescent="0.2">
      <c r="AJ263" s="29"/>
      <c r="AK263" s="29"/>
      <c r="AL263" s="29"/>
      <c r="AU263" s="203" t="e">
        <f t="shared" ref="AU263:AU275" ca="1" si="99">S7</f>
        <v>#NAME?</v>
      </c>
      <c r="AV263" s="203">
        <f t="shared" si="98"/>
        <v>0</v>
      </c>
      <c r="AW263" s="203">
        <f t="shared" ref="AW263:AW275" si="100">S$6</f>
        <v>1650</v>
      </c>
    </row>
    <row r="264" spans="36:49" x14ac:dyDescent="0.2">
      <c r="AJ264" s="29"/>
      <c r="AK264" s="29"/>
      <c r="AL264" s="29"/>
      <c r="AU264" s="203" t="e">
        <f t="shared" ca="1" si="99"/>
        <v>#NAME?</v>
      </c>
      <c r="AV264" s="203">
        <f t="shared" si="98"/>
        <v>0</v>
      </c>
      <c r="AW264" s="203">
        <f t="shared" si="100"/>
        <v>1650</v>
      </c>
    </row>
    <row r="265" spans="36:49" x14ac:dyDescent="0.2">
      <c r="AJ265" s="29"/>
      <c r="AK265" s="29"/>
      <c r="AL265" s="29"/>
      <c r="AU265" s="203" t="e">
        <f t="shared" ca="1" si="99"/>
        <v>#NAME?</v>
      </c>
      <c r="AV265" s="203">
        <f t="shared" si="98"/>
        <v>0</v>
      </c>
      <c r="AW265" s="203">
        <f t="shared" si="100"/>
        <v>1650</v>
      </c>
    </row>
    <row r="266" spans="36:49" x14ac:dyDescent="0.2">
      <c r="AJ266" s="29"/>
      <c r="AK266" s="29"/>
      <c r="AL266" s="29"/>
      <c r="AU266" s="203" t="e">
        <f t="shared" ca="1" si="99"/>
        <v>#NAME?</v>
      </c>
      <c r="AV266" s="203">
        <f t="shared" si="98"/>
        <v>0</v>
      </c>
      <c r="AW266" s="203">
        <f t="shared" si="100"/>
        <v>1650</v>
      </c>
    </row>
    <row r="267" spans="36:49" x14ac:dyDescent="0.2">
      <c r="AJ267" s="29"/>
      <c r="AK267" s="29"/>
      <c r="AL267" s="29"/>
      <c r="AU267" s="203" t="e">
        <f t="shared" ca="1" si="99"/>
        <v>#NAME?</v>
      </c>
      <c r="AV267" s="203">
        <f t="shared" si="98"/>
        <v>0</v>
      </c>
      <c r="AW267" s="203">
        <f t="shared" si="100"/>
        <v>1650</v>
      </c>
    </row>
    <row r="268" spans="36:49" x14ac:dyDescent="0.2">
      <c r="AJ268" s="29"/>
      <c r="AK268" s="29"/>
      <c r="AL268" s="29"/>
      <c r="AU268" s="203" t="e">
        <f t="shared" ca="1" si="99"/>
        <v>#NAME?</v>
      </c>
      <c r="AV268" s="203">
        <f t="shared" si="98"/>
        <v>100</v>
      </c>
      <c r="AW268" s="203">
        <f t="shared" si="100"/>
        <v>1650</v>
      </c>
    </row>
    <row r="269" spans="36:49" x14ac:dyDescent="0.2">
      <c r="AJ269" s="29"/>
      <c r="AK269" s="29"/>
      <c r="AL269" s="29"/>
      <c r="AU269" s="203" t="e">
        <f t="shared" ca="1" si="99"/>
        <v>#NAME?</v>
      </c>
      <c r="AV269" s="203">
        <f t="shared" si="98"/>
        <v>0</v>
      </c>
      <c r="AW269" s="203">
        <f t="shared" si="100"/>
        <v>1650</v>
      </c>
    </row>
    <row r="270" spans="36:49" x14ac:dyDescent="0.2">
      <c r="AJ270" s="29"/>
      <c r="AK270" s="29"/>
      <c r="AL270" s="29"/>
      <c r="AU270" s="203" t="e">
        <f t="shared" ca="1" si="99"/>
        <v>#NAME?</v>
      </c>
      <c r="AV270" s="203">
        <f t="shared" si="98"/>
        <v>-100</v>
      </c>
      <c r="AW270" s="203">
        <f t="shared" si="100"/>
        <v>1650</v>
      </c>
    </row>
    <row r="271" spans="36:49" x14ac:dyDescent="0.2">
      <c r="AJ271" s="29"/>
      <c r="AK271" s="29"/>
      <c r="AL271" s="29"/>
      <c r="AU271" s="203" t="e">
        <f t="shared" ca="1" si="99"/>
        <v>#NAME?</v>
      </c>
      <c r="AV271" s="203">
        <f t="shared" si="98"/>
        <v>-200</v>
      </c>
      <c r="AW271" s="203">
        <f t="shared" si="100"/>
        <v>1650</v>
      </c>
    </row>
    <row r="272" spans="36:49" x14ac:dyDescent="0.2">
      <c r="AJ272" s="29"/>
      <c r="AK272" s="29"/>
      <c r="AL272" s="29"/>
      <c r="AU272" s="203" t="e">
        <f t="shared" ca="1" si="99"/>
        <v>#NAME?</v>
      </c>
      <c r="AV272" s="203">
        <f t="shared" si="98"/>
        <v>-300</v>
      </c>
      <c r="AW272" s="203">
        <f t="shared" si="100"/>
        <v>1650</v>
      </c>
    </row>
    <row r="273" spans="36:49" x14ac:dyDescent="0.2">
      <c r="AJ273" s="29"/>
      <c r="AK273" s="29"/>
      <c r="AL273" s="29"/>
      <c r="AU273" s="203" t="e">
        <f t="shared" ca="1" si="99"/>
        <v>#NAME?</v>
      </c>
      <c r="AV273" s="203">
        <f t="shared" si="98"/>
        <v>-400</v>
      </c>
      <c r="AW273" s="203">
        <f t="shared" si="100"/>
        <v>1650</v>
      </c>
    </row>
    <row r="274" spans="36:49" x14ac:dyDescent="0.2">
      <c r="AJ274" s="29"/>
      <c r="AK274" s="29"/>
      <c r="AL274" s="29"/>
      <c r="AU274" s="203" t="e">
        <f t="shared" ca="1" si="99"/>
        <v>#NAME?</v>
      </c>
      <c r="AV274" s="203">
        <f t="shared" si="98"/>
        <v>0</v>
      </c>
      <c r="AW274" s="203">
        <f t="shared" si="100"/>
        <v>1650</v>
      </c>
    </row>
    <row r="275" spans="36:49" x14ac:dyDescent="0.2">
      <c r="AJ275" s="29"/>
      <c r="AL275" s="29"/>
      <c r="AU275" s="203" t="e">
        <f t="shared" ca="1" si="99"/>
        <v>#NAME?</v>
      </c>
      <c r="AV275" s="203">
        <f t="shared" si="98"/>
        <v>0</v>
      </c>
      <c r="AW275" s="203">
        <f t="shared" si="100"/>
        <v>1650</v>
      </c>
    </row>
    <row r="276" spans="36:49" x14ac:dyDescent="0.2">
      <c r="AJ276" s="29"/>
      <c r="AK276" s="102"/>
      <c r="AL276" s="29"/>
      <c r="AU276" s="203" t="e">
        <f t="shared" ref="AU276:AU288" ca="1" si="101">T7</f>
        <v>#NAME?</v>
      </c>
      <c r="AV276" s="203">
        <f t="shared" si="98"/>
        <v>0</v>
      </c>
      <c r="AW276" s="203">
        <f t="shared" ref="AW276:AW288" si="102">T$6</f>
        <v>1750</v>
      </c>
    </row>
    <row r="277" spans="36:49" x14ac:dyDescent="0.2">
      <c r="AJ277" s="29"/>
      <c r="AK277" s="102"/>
      <c r="AL277" s="29"/>
      <c r="AU277" s="203" t="e">
        <f t="shared" ca="1" si="101"/>
        <v>#NAME?</v>
      </c>
      <c r="AV277" s="203">
        <f t="shared" si="98"/>
        <v>0</v>
      </c>
      <c r="AW277" s="203">
        <f t="shared" si="102"/>
        <v>1750</v>
      </c>
    </row>
    <row r="278" spans="36:49" x14ac:dyDescent="0.2">
      <c r="AJ278" s="29"/>
      <c r="AK278" s="102"/>
      <c r="AL278" s="29"/>
      <c r="AU278" s="203" t="e">
        <f t="shared" ca="1" si="101"/>
        <v>#NAME?</v>
      </c>
      <c r="AV278" s="203">
        <f t="shared" si="98"/>
        <v>0</v>
      </c>
      <c r="AW278" s="203">
        <f t="shared" si="102"/>
        <v>1750</v>
      </c>
    </row>
    <row r="279" spans="36:49" x14ac:dyDescent="0.2">
      <c r="AJ279" s="29"/>
      <c r="AK279" s="102"/>
      <c r="AL279" s="29"/>
      <c r="AU279" s="203" t="e">
        <f t="shared" ca="1" si="101"/>
        <v>#NAME?</v>
      </c>
      <c r="AV279" s="203">
        <f t="shared" si="98"/>
        <v>0</v>
      </c>
      <c r="AW279" s="203">
        <f t="shared" si="102"/>
        <v>1750</v>
      </c>
    </row>
    <row r="280" spans="36:49" x14ac:dyDescent="0.2">
      <c r="AJ280" s="29"/>
      <c r="AK280" s="102"/>
      <c r="AL280" s="29"/>
      <c r="AU280" s="203" t="e">
        <f t="shared" ca="1" si="101"/>
        <v>#NAME?</v>
      </c>
      <c r="AV280" s="203">
        <f t="shared" si="98"/>
        <v>0</v>
      </c>
      <c r="AW280" s="203">
        <f t="shared" si="102"/>
        <v>1750</v>
      </c>
    </row>
    <row r="281" spans="36:49" x14ac:dyDescent="0.2">
      <c r="AJ281" s="29"/>
      <c r="AK281" s="102"/>
      <c r="AL281" s="29"/>
      <c r="AU281" s="203" t="e">
        <f t="shared" ca="1" si="101"/>
        <v>#NAME?</v>
      </c>
      <c r="AV281" s="203">
        <f t="shared" si="98"/>
        <v>100</v>
      </c>
      <c r="AW281" s="203">
        <f t="shared" si="102"/>
        <v>1750</v>
      </c>
    </row>
    <row r="282" spans="36:49" x14ac:dyDescent="0.2">
      <c r="AJ282" s="29"/>
      <c r="AK282" s="102"/>
      <c r="AL282" s="29"/>
      <c r="AU282" s="203" t="e">
        <f t="shared" ca="1" si="101"/>
        <v>#NAME?</v>
      </c>
      <c r="AV282" s="203">
        <f t="shared" si="98"/>
        <v>0</v>
      </c>
      <c r="AW282" s="203">
        <f t="shared" si="102"/>
        <v>1750</v>
      </c>
    </row>
    <row r="283" spans="36:49" x14ac:dyDescent="0.2">
      <c r="AJ283" s="29"/>
      <c r="AK283" s="102"/>
      <c r="AL283" s="29"/>
      <c r="AU283" s="203" t="e">
        <f t="shared" ca="1" si="101"/>
        <v>#NAME?</v>
      </c>
      <c r="AV283" s="203">
        <f t="shared" si="98"/>
        <v>-100</v>
      </c>
      <c r="AW283" s="203">
        <f t="shared" si="102"/>
        <v>1750</v>
      </c>
    </row>
    <row r="284" spans="36:49" x14ac:dyDescent="0.2">
      <c r="AJ284" s="29"/>
      <c r="AK284" s="102"/>
      <c r="AL284" s="29"/>
      <c r="AU284" s="203" t="e">
        <f t="shared" ca="1" si="101"/>
        <v>#NAME?</v>
      </c>
      <c r="AV284" s="203">
        <f t="shared" si="98"/>
        <v>-200</v>
      </c>
      <c r="AW284" s="203">
        <f t="shared" si="102"/>
        <v>1750</v>
      </c>
    </row>
    <row r="285" spans="36:49" x14ac:dyDescent="0.2">
      <c r="AJ285" s="29"/>
      <c r="AK285" s="102"/>
      <c r="AL285" s="29"/>
      <c r="AU285" s="203" t="e">
        <f t="shared" ca="1" si="101"/>
        <v>#NAME?</v>
      </c>
      <c r="AV285" s="203">
        <f t="shared" si="98"/>
        <v>-300</v>
      </c>
      <c r="AW285" s="203">
        <f t="shared" si="102"/>
        <v>1750</v>
      </c>
    </row>
    <row r="286" spans="36:49" x14ac:dyDescent="0.2">
      <c r="AJ286" s="29"/>
      <c r="AK286" s="102"/>
      <c r="AL286" s="29"/>
      <c r="AU286" s="203" t="e">
        <f t="shared" ca="1" si="101"/>
        <v>#NAME?</v>
      </c>
      <c r="AV286" s="203">
        <f t="shared" si="98"/>
        <v>-400</v>
      </c>
      <c r="AW286" s="203">
        <f t="shared" si="102"/>
        <v>1750</v>
      </c>
    </row>
    <row r="287" spans="36:49" x14ac:dyDescent="0.2">
      <c r="AJ287" s="29"/>
      <c r="AK287" s="102"/>
      <c r="AL287" s="29"/>
      <c r="AU287" s="203" t="e">
        <f t="shared" ca="1" si="101"/>
        <v>#NAME?</v>
      </c>
      <c r="AV287" s="203">
        <f t="shared" si="98"/>
        <v>0</v>
      </c>
      <c r="AW287" s="203">
        <f t="shared" si="102"/>
        <v>1750</v>
      </c>
    </row>
    <row r="288" spans="36:49" x14ac:dyDescent="0.2">
      <c r="AJ288" s="29"/>
      <c r="AK288" s="101"/>
      <c r="AL288" s="29"/>
      <c r="AU288" s="203" t="e">
        <f t="shared" ca="1" si="101"/>
        <v>#NAME?</v>
      </c>
      <c r="AV288" s="203">
        <f t="shared" si="98"/>
        <v>0</v>
      </c>
      <c r="AW288" s="203">
        <f t="shared" si="102"/>
        <v>1750</v>
      </c>
    </row>
    <row r="289" spans="36:49" x14ac:dyDescent="0.2">
      <c r="AJ289" s="29"/>
      <c r="AK289" s="29"/>
      <c r="AL289" s="29"/>
      <c r="AU289" s="203" t="e">
        <f t="shared" ref="AU289:AU301" ca="1" si="103">U7</f>
        <v>#NAME?</v>
      </c>
      <c r="AV289" s="203">
        <f t="shared" si="98"/>
        <v>0</v>
      </c>
      <c r="AW289" s="203">
        <f t="shared" ref="AW289:AW301" si="104">U$6</f>
        <v>1850</v>
      </c>
    </row>
    <row r="290" spans="36:49" x14ac:dyDescent="0.2">
      <c r="AJ290" s="29"/>
      <c r="AK290" s="29"/>
      <c r="AL290" s="29"/>
      <c r="AU290" s="203" t="e">
        <f t="shared" ca="1" si="103"/>
        <v>#NAME?</v>
      </c>
      <c r="AV290" s="203">
        <f t="shared" si="98"/>
        <v>0</v>
      </c>
      <c r="AW290" s="203">
        <f t="shared" si="104"/>
        <v>1850</v>
      </c>
    </row>
    <row r="291" spans="36:49" x14ac:dyDescent="0.2">
      <c r="AJ291" s="29"/>
      <c r="AK291" s="29"/>
      <c r="AL291" s="29"/>
      <c r="AU291" s="203" t="e">
        <f t="shared" ca="1" si="103"/>
        <v>#NAME?</v>
      </c>
      <c r="AV291" s="203">
        <f t="shared" si="98"/>
        <v>0</v>
      </c>
      <c r="AW291" s="203">
        <f t="shared" si="104"/>
        <v>1850</v>
      </c>
    </row>
    <row r="292" spans="36:49" x14ac:dyDescent="0.2">
      <c r="AJ292" s="29"/>
      <c r="AK292" s="29"/>
      <c r="AL292" s="29"/>
      <c r="AU292" s="203" t="e">
        <f t="shared" ca="1" si="103"/>
        <v>#NAME?</v>
      </c>
      <c r="AV292" s="203">
        <f t="shared" si="98"/>
        <v>0</v>
      </c>
      <c r="AW292" s="203">
        <f t="shared" si="104"/>
        <v>1850</v>
      </c>
    </row>
    <row r="293" spans="36:49" x14ac:dyDescent="0.2">
      <c r="AJ293" s="29"/>
      <c r="AK293" s="29"/>
      <c r="AL293" s="29"/>
      <c r="AU293" s="203" t="e">
        <f t="shared" ca="1" si="103"/>
        <v>#NAME?</v>
      </c>
      <c r="AV293" s="203">
        <f t="shared" si="98"/>
        <v>0</v>
      </c>
      <c r="AW293" s="203">
        <f t="shared" si="104"/>
        <v>1850</v>
      </c>
    </row>
    <row r="294" spans="36:49" x14ac:dyDescent="0.2">
      <c r="AJ294" s="29"/>
      <c r="AK294" s="29"/>
      <c r="AL294" s="29"/>
      <c r="AU294" s="203" t="e">
        <f t="shared" ca="1" si="103"/>
        <v>#NAME?</v>
      </c>
      <c r="AV294" s="203">
        <f t="shared" si="98"/>
        <v>100</v>
      </c>
      <c r="AW294" s="203">
        <f t="shared" si="104"/>
        <v>1850</v>
      </c>
    </row>
    <row r="295" spans="36:49" x14ac:dyDescent="0.2">
      <c r="AJ295" s="29"/>
      <c r="AK295" s="29"/>
      <c r="AL295" s="29"/>
      <c r="AU295" s="203" t="e">
        <f t="shared" ca="1" si="103"/>
        <v>#NAME?</v>
      </c>
      <c r="AV295" s="203">
        <f t="shared" si="98"/>
        <v>0</v>
      </c>
      <c r="AW295" s="203">
        <f t="shared" si="104"/>
        <v>1850</v>
      </c>
    </row>
    <row r="296" spans="36:49" x14ac:dyDescent="0.2">
      <c r="AJ296" s="29"/>
      <c r="AK296" s="29"/>
      <c r="AL296" s="29"/>
      <c r="AU296" s="203" t="e">
        <f t="shared" ca="1" si="103"/>
        <v>#NAME?</v>
      </c>
      <c r="AV296" s="203">
        <f t="shared" si="98"/>
        <v>-100</v>
      </c>
      <c r="AW296" s="203">
        <f t="shared" si="104"/>
        <v>1850</v>
      </c>
    </row>
    <row r="297" spans="36:49" x14ac:dyDescent="0.2">
      <c r="AJ297" s="29"/>
      <c r="AK297" s="29"/>
      <c r="AL297" s="29"/>
      <c r="AU297" s="203" t="e">
        <f t="shared" ca="1" si="103"/>
        <v>#NAME?</v>
      </c>
      <c r="AV297" s="203">
        <f t="shared" si="98"/>
        <v>-200</v>
      </c>
      <c r="AW297" s="203">
        <f t="shared" si="104"/>
        <v>1850</v>
      </c>
    </row>
    <row r="298" spans="36:49" x14ac:dyDescent="0.2">
      <c r="AJ298" s="29"/>
      <c r="AK298" s="29"/>
      <c r="AL298" s="29"/>
      <c r="AU298" s="203" t="e">
        <f t="shared" ca="1" si="103"/>
        <v>#NAME?</v>
      </c>
      <c r="AV298" s="203">
        <f t="shared" si="98"/>
        <v>-300</v>
      </c>
      <c r="AW298" s="203">
        <f t="shared" si="104"/>
        <v>1850</v>
      </c>
    </row>
    <row r="299" spans="36:49" x14ac:dyDescent="0.2">
      <c r="AJ299" s="29"/>
      <c r="AK299" s="29"/>
      <c r="AL299" s="29"/>
      <c r="AU299" s="203" t="e">
        <f t="shared" ca="1" si="103"/>
        <v>#NAME?</v>
      </c>
      <c r="AV299" s="203">
        <f t="shared" si="98"/>
        <v>-400</v>
      </c>
      <c r="AW299" s="203">
        <f t="shared" si="104"/>
        <v>1850</v>
      </c>
    </row>
    <row r="300" spans="36:49" x14ac:dyDescent="0.2">
      <c r="AJ300" s="29"/>
      <c r="AK300" s="29"/>
      <c r="AL300" s="29"/>
      <c r="AU300" s="203" t="e">
        <f t="shared" ca="1" si="103"/>
        <v>#NAME?</v>
      </c>
      <c r="AV300" s="203">
        <f t="shared" si="98"/>
        <v>0</v>
      </c>
      <c r="AW300" s="203">
        <f t="shared" si="104"/>
        <v>1850</v>
      </c>
    </row>
    <row r="301" spans="36:49" x14ac:dyDescent="0.2">
      <c r="AJ301" s="29"/>
      <c r="AL301" s="29"/>
      <c r="AU301" s="203" t="e">
        <f t="shared" ca="1" si="103"/>
        <v>#NAME?</v>
      </c>
      <c r="AV301" s="203">
        <f t="shared" si="98"/>
        <v>0</v>
      </c>
      <c r="AW301" s="203">
        <f t="shared" si="104"/>
        <v>1850</v>
      </c>
    </row>
    <row r="302" spans="36:49" x14ac:dyDescent="0.2">
      <c r="AJ302" s="29"/>
      <c r="AK302" s="102"/>
      <c r="AL302" s="29"/>
      <c r="AU302" s="203" t="e">
        <f t="shared" ref="AU302:AU314" ca="1" si="105">V7</f>
        <v>#NAME?</v>
      </c>
      <c r="AV302" s="203">
        <f t="shared" si="98"/>
        <v>0</v>
      </c>
      <c r="AW302" s="203">
        <f t="shared" ref="AW302:AW314" si="106">V$6</f>
        <v>1950</v>
      </c>
    </row>
    <row r="303" spans="36:49" x14ac:dyDescent="0.2">
      <c r="AJ303" s="29"/>
      <c r="AK303" s="102"/>
      <c r="AL303" s="29"/>
      <c r="AU303" s="203" t="e">
        <f t="shared" ca="1" si="105"/>
        <v>#NAME?</v>
      </c>
      <c r="AV303" s="203">
        <f t="shared" si="98"/>
        <v>0</v>
      </c>
      <c r="AW303" s="203">
        <f t="shared" si="106"/>
        <v>1950</v>
      </c>
    </row>
    <row r="304" spans="36:49" x14ac:dyDescent="0.2">
      <c r="AJ304" s="29"/>
      <c r="AK304" s="102"/>
      <c r="AL304" s="29"/>
      <c r="AU304" s="203" t="e">
        <f t="shared" ca="1" si="105"/>
        <v>#NAME?</v>
      </c>
      <c r="AV304" s="203">
        <f t="shared" si="98"/>
        <v>0</v>
      </c>
      <c r="AW304" s="203">
        <f t="shared" si="106"/>
        <v>1950</v>
      </c>
    </row>
    <row r="305" spans="36:49" x14ac:dyDescent="0.2">
      <c r="AJ305" s="29"/>
      <c r="AK305" s="102"/>
      <c r="AL305" s="29"/>
      <c r="AU305" s="203" t="e">
        <f t="shared" ca="1" si="105"/>
        <v>#NAME?</v>
      </c>
      <c r="AV305" s="203">
        <f t="shared" si="98"/>
        <v>0</v>
      </c>
      <c r="AW305" s="203">
        <f t="shared" si="106"/>
        <v>1950</v>
      </c>
    </row>
    <row r="306" spans="36:49" x14ac:dyDescent="0.2">
      <c r="AJ306" s="29"/>
      <c r="AK306" s="102"/>
      <c r="AL306" s="29"/>
      <c r="AU306" s="203" t="e">
        <f t="shared" ca="1" si="105"/>
        <v>#NAME?</v>
      </c>
      <c r="AV306" s="203">
        <f t="shared" si="98"/>
        <v>0</v>
      </c>
      <c r="AW306" s="203">
        <f t="shared" si="106"/>
        <v>1950</v>
      </c>
    </row>
    <row r="307" spans="36:49" x14ac:dyDescent="0.2">
      <c r="AJ307" s="29"/>
      <c r="AK307" s="102"/>
      <c r="AL307" s="29"/>
      <c r="AU307" s="203" t="e">
        <f t="shared" ca="1" si="105"/>
        <v>#NAME?</v>
      </c>
      <c r="AV307" s="203">
        <f t="shared" si="98"/>
        <v>100</v>
      </c>
      <c r="AW307" s="203">
        <f t="shared" si="106"/>
        <v>1950</v>
      </c>
    </row>
    <row r="308" spans="36:49" x14ac:dyDescent="0.2">
      <c r="AJ308" s="29"/>
      <c r="AK308" s="102"/>
      <c r="AL308" s="29"/>
      <c r="AU308" s="203" t="e">
        <f t="shared" ca="1" si="105"/>
        <v>#NAME?</v>
      </c>
      <c r="AV308" s="203">
        <f t="shared" si="98"/>
        <v>0</v>
      </c>
      <c r="AW308" s="203">
        <f t="shared" si="106"/>
        <v>1950</v>
      </c>
    </row>
    <row r="309" spans="36:49" x14ac:dyDescent="0.2">
      <c r="AJ309" s="29"/>
      <c r="AK309" s="102"/>
      <c r="AL309" s="29"/>
      <c r="AU309" s="203" t="e">
        <f t="shared" ca="1" si="105"/>
        <v>#NAME?</v>
      </c>
      <c r="AV309" s="203">
        <f t="shared" si="98"/>
        <v>-100</v>
      </c>
      <c r="AW309" s="203">
        <f t="shared" si="106"/>
        <v>1950</v>
      </c>
    </row>
    <row r="310" spans="36:49" x14ac:dyDescent="0.2">
      <c r="AJ310" s="29"/>
      <c r="AK310" s="102"/>
      <c r="AL310" s="29"/>
      <c r="AU310" s="203" t="e">
        <f t="shared" ca="1" si="105"/>
        <v>#NAME?</v>
      </c>
      <c r="AV310" s="203">
        <f t="shared" si="98"/>
        <v>-200</v>
      </c>
      <c r="AW310" s="203">
        <f t="shared" si="106"/>
        <v>1950</v>
      </c>
    </row>
    <row r="311" spans="36:49" x14ac:dyDescent="0.2">
      <c r="AJ311" s="29"/>
      <c r="AK311" s="102"/>
      <c r="AL311" s="29"/>
      <c r="AU311" s="203" t="e">
        <f t="shared" ca="1" si="105"/>
        <v>#NAME?</v>
      </c>
      <c r="AV311" s="203">
        <f t="shared" si="98"/>
        <v>-300</v>
      </c>
      <c r="AW311" s="203">
        <f t="shared" si="106"/>
        <v>1950</v>
      </c>
    </row>
    <row r="312" spans="36:49" x14ac:dyDescent="0.2">
      <c r="AJ312" s="29"/>
      <c r="AK312" s="102"/>
      <c r="AL312" s="29"/>
      <c r="AU312" s="203" t="e">
        <f t="shared" ca="1" si="105"/>
        <v>#NAME?</v>
      </c>
      <c r="AV312" s="203">
        <f t="shared" si="98"/>
        <v>-400</v>
      </c>
      <c r="AW312" s="203">
        <f t="shared" si="106"/>
        <v>1950</v>
      </c>
    </row>
    <row r="313" spans="36:49" x14ac:dyDescent="0.2">
      <c r="AJ313" s="29"/>
      <c r="AK313" s="102"/>
      <c r="AL313" s="29"/>
      <c r="AU313" s="203" t="e">
        <f t="shared" ca="1" si="105"/>
        <v>#NAME?</v>
      </c>
      <c r="AV313" s="203">
        <f t="shared" si="98"/>
        <v>0</v>
      </c>
      <c r="AW313" s="203">
        <f t="shared" si="106"/>
        <v>1950</v>
      </c>
    </row>
    <row r="314" spans="36:49" x14ac:dyDescent="0.2">
      <c r="AJ314" s="29"/>
      <c r="AK314" s="101"/>
      <c r="AL314" s="29"/>
      <c r="AU314" s="203" t="e">
        <f t="shared" ca="1" si="105"/>
        <v>#NAME?</v>
      </c>
      <c r="AV314" s="203">
        <f t="shared" si="98"/>
        <v>0</v>
      </c>
      <c r="AW314" s="203">
        <f t="shared" si="106"/>
        <v>1950</v>
      </c>
    </row>
    <row r="315" spans="36:49" x14ac:dyDescent="0.2">
      <c r="AJ315" s="29"/>
      <c r="AK315" s="29"/>
      <c r="AL315" s="29"/>
      <c r="AU315" s="203" t="e">
        <f t="shared" ref="AU315:AU327" ca="1" si="107">W7</f>
        <v>#NAME?</v>
      </c>
      <c r="AV315" s="203">
        <f t="shared" si="98"/>
        <v>0</v>
      </c>
      <c r="AW315" s="203">
        <f t="shared" ref="AW315:AW327" si="108">W$6</f>
        <v>2050</v>
      </c>
    </row>
    <row r="316" spans="36:49" x14ac:dyDescent="0.2">
      <c r="AJ316" s="29"/>
      <c r="AK316" s="29"/>
      <c r="AL316" s="29"/>
      <c r="AU316" s="203" t="e">
        <f t="shared" ca="1" si="107"/>
        <v>#NAME?</v>
      </c>
      <c r="AV316" s="203">
        <f t="shared" si="98"/>
        <v>0</v>
      </c>
      <c r="AW316" s="203">
        <f t="shared" si="108"/>
        <v>2050</v>
      </c>
    </row>
    <row r="317" spans="36:49" x14ac:dyDescent="0.2">
      <c r="AJ317" s="29"/>
      <c r="AK317" s="29"/>
      <c r="AL317" s="29"/>
      <c r="AU317" s="203" t="e">
        <f t="shared" ca="1" si="107"/>
        <v>#NAME?</v>
      </c>
      <c r="AV317" s="203">
        <f t="shared" si="98"/>
        <v>0</v>
      </c>
      <c r="AW317" s="203">
        <f t="shared" si="108"/>
        <v>2050</v>
      </c>
    </row>
    <row r="318" spans="36:49" x14ac:dyDescent="0.2">
      <c r="AJ318" s="29"/>
      <c r="AK318" s="29"/>
      <c r="AL318" s="29"/>
      <c r="AU318" s="203" t="e">
        <f t="shared" ca="1" si="107"/>
        <v>#NAME?</v>
      </c>
      <c r="AV318" s="203">
        <f t="shared" si="98"/>
        <v>0</v>
      </c>
      <c r="AW318" s="203">
        <f t="shared" si="108"/>
        <v>2050</v>
      </c>
    </row>
    <row r="319" spans="36:49" x14ac:dyDescent="0.2">
      <c r="AJ319" s="29"/>
      <c r="AK319" s="29"/>
      <c r="AL319" s="29"/>
      <c r="AU319" s="203" t="e">
        <f t="shared" ca="1" si="107"/>
        <v>#NAME?</v>
      </c>
      <c r="AV319" s="203">
        <f t="shared" si="98"/>
        <v>0</v>
      </c>
      <c r="AW319" s="203">
        <f t="shared" si="108"/>
        <v>2050</v>
      </c>
    </row>
    <row r="320" spans="36:49" x14ac:dyDescent="0.2">
      <c r="AJ320" s="29"/>
      <c r="AK320" s="29"/>
      <c r="AL320" s="29"/>
      <c r="AU320" s="203" t="e">
        <f t="shared" ca="1" si="107"/>
        <v>#NAME?</v>
      </c>
      <c r="AV320" s="203">
        <f t="shared" si="98"/>
        <v>100</v>
      </c>
      <c r="AW320" s="203">
        <f t="shared" si="108"/>
        <v>2050</v>
      </c>
    </row>
    <row r="321" spans="36:49" x14ac:dyDescent="0.2">
      <c r="AJ321" s="29"/>
      <c r="AK321" s="29"/>
      <c r="AL321" s="29"/>
      <c r="AU321" s="203" t="e">
        <f t="shared" ca="1" si="107"/>
        <v>#NAME?</v>
      </c>
      <c r="AV321" s="203">
        <f t="shared" si="98"/>
        <v>0</v>
      </c>
      <c r="AW321" s="203">
        <f t="shared" si="108"/>
        <v>2050</v>
      </c>
    </row>
    <row r="322" spans="36:49" x14ac:dyDescent="0.2">
      <c r="AJ322" s="29"/>
      <c r="AK322" s="29"/>
      <c r="AL322" s="29"/>
      <c r="AU322" s="203" t="e">
        <f t="shared" ca="1" si="107"/>
        <v>#NAME?</v>
      </c>
      <c r="AV322" s="203">
        <f t="shared" si="98"/>
        <v>-100</v>
      </c>
      <c r="AW322" s="203">
        <f t="shared" si="108"/>
        <v>2050</v>
      </c>
    </row>
    <row r="323" spans="36:49" x14ac:dyDescent="0.2">
      <c r="AJ323" s="29"/>
      <c r="AK323" s="29"/>
      <c r="AL323" s="29"/>
      <c r="AU323" s="203" t="e">
        <f t="shared" ca="1" si="107"/>
        <v>#NAME?</v>
      </c>
      <c r="AV323" s="203">
        <f t="shared" si="98"/>
        <v>-200</v>
      </c>
      <c r="AW323" s="203">
        <f t="shared" si="108"/>
        <v>2050</v>
      </c>
    </row>
    <row r="324" spans="36:49" x14ac:dyDescent="0.2">
      <c r="AJ324" s="29"/>
      <c r="AK324" s="29"/>
      <c r="AL324" s="29"/>
      <c r="AU324" s="203" t="e">
        <f t="shared" ca="1" si="107"/>
        <v>#NAME?</v>
      </c>
      <c r="AV324" s="203">
        <f t="shared" ref="AV324:AV387" si="109">AV311</f>
        <v>-300</v>
      </c>
      <c r="AW324" s="203">
        <f t="shared" si="108"/>
        <v>2050</v>
      </c>
    </row>
    <row r="325" spans="36:49" x14ac:dyDescent="0.2">
      <c r="AJ325" s="29"/>
      <c r="AK325" s="29"/>
      <c r="AL325" s="29"/>
      <c r="AU325" s="203" t="e">
        <f t="shared" ca="1" si="107"/>
        <v>#NAME?</v>
      </c>
      <c r="AV325" s="203">
        <f t="shared" si="109"/>
        <v>-400</v>
      </c>
      <c r="AW325" s="203">
        <f t="shared" si="108"/>
        <v>2050</v>
      </c>
    </row>
    <row r="326" spans="36:49" x14ac:dyDescent="0.2">
      <c r="AJ326" s="29"/>
      <c r="AK326" s="29"/>
      <c r="AL326" s="29"/>
      <c r="AU326" s="203" t="e">
        <f t="shared" ca="1" si="107"/>
        <v>#NAME?</v>
      </c>
      <c r="AV326" s="203">
        <f t="shared" si="109"/>
        <v>0</v>
      </c>
      <c r="AW326" s="203">
        <f t="shared" si="108"/>
        <v>2050</v>
      </c>
    </row>
    <row r="327" spans="36:49" x14ac:dyDescent="0.2">
      <c r="AJ327" s="29"/>
      <c r="AL327" s="29"/>
      <c r="AU327" s="203" t="e">
        <f t="shared" ca="1" si="107"/>
        <v>#NAME?</v>
      </c>
      <c r="AV327" s="203">
        <f t="shared" si="109"/>
        <v>0</v>
      </c>
      <c r="AW327" s="203">
        <f t="shared" si="108"/>
        <v>2050</v>
      </c>
    </row>
    <row r="328" spans="36:49" x14ac:dyDescent="0.2">
      <c r="AJ328" s="29"/>
      <c r="AK328" s="102"/>
      <c r="AL328" s="29"/>
      <c r="AU328" s="203" t="e">
        <f t="shared" ref="AU328:AU340" ca="1" si="110">X7</f>
        <v>#NAME?</v>
      </c>
      <c r="AV328" s="203">
        <f t="shared" si="109"/>
        <v>0</v>
      </c>
      <c r="AW328" s="203">
        <f t="shared" ref="AW328:AW340" si="111">X$6</f>
        <v>2150</v>
      </c>
    </row>
    <row r="329" spans="36:49" x14ac:dyDescent="0.2">
      <c r="AJ329" s="29"/>
      <c r="AK329" s="102"/>
      <c r="AL329" s="29"/>
      <c r="AU329" s="203" t="e">
        <f t="shared" ca="1" si="110"/>
        <v>#NAME?</v>
      </c>
      <c r="AV329" s="203">
        <f t="shared" si="109"/>
        <v>0</v>
      </c>
      <c r="AW329" s="203">
        <f t="shared" si="111"/>
        <v>2150</v>
      </c>
    </row>
    <row r="330" spans="36:49" x14ac:dyDescent="0.2">
      <c r="AJ330" s="29"/>
      <c r="AK330" s="102"/>
      <c r="AL330" s="29"/>
      <c r="AU330" s="203" t="e">
        <f t="shared" ca="1" si="110"/>
        <v>#NAME?</v>
      </c>
      <c r="AV330" s="203">
        <f t="shared" si="109"/>
        <v>0</v>
      </c>
      <c r="AW330" s="203">
        <f t="shared" si="111"/>
        <v>2150</v>
      </c>
    </row>
    <row r="331" spans="36:49" x14ac:dyDescent="0.2">
      <c r="AJ331" s="29"/>
      <c r="AK331" s="102"/>
      <c r="AL331" s="29"/>
      <c r="AU331" s="203" t="e">
        <f t="shared" ca="1" si="110"/>
        <v>#NAME?</v>
      </c>
      <c r="AV331" s="203">
        <f t="shared" si="109"/>
        <v>0</v>
      </c>
      <c r="AW331" s="203">
        <f t="shared" si="111"/>
        <v>2150</v>
      </c>
    </row>
    <row r="332" spans="36:49" x14ac:dyDescent="0.2">
      <c r="AJ332" s="29"/>
      <c r="AK332" s="102"/>
      <c r="AL332" s="29"/>
      <c r="AU332" s="203" t="e">
        <f t="shared" ca="1" si="110"/>
        <v>#NAME?</v>
      </c>
      <c r="AV332" s="203">
        <f t="shared" si="109"/>
        <v>0</v>
      </c>
      <c r="AW332" s="203">
        <f t="shared" si="111"/>
        <v>2150</v>
      </c>
    </row>
    <row r="333" spans="36:49" x14ac:dyDescent="0.2">
      <c r="AJ333" s="29"/>
      <c r="AK333" s="102"/>
      <c r="AL333" s="29"/>
      <c r="AU333" s="203" t="e">
        <f t="shared" ca="1" si="110"/>
        <v>#NAME?</v>
      </c>
      <c r="AV333" s="203">
        <f t="shared" si="109"/>
        <v>100</v>
      </c>
      <c r="AW333" s="203">
        <f t="shared" si="111"/>
        <v>2150</v>
      </c>
    </row>
    <row r="334" spans="36:49" x14ac:dyDescent="0.2">
      <c r="AJ334" s="29"/>
      <c r="AK334" s="102"/>
      <c r="AL334" s="29"/>
      <c r="AU334" s="203" t="e">
        <f t="shared" ca="1" si="110"/>
        <v>#NAME?</v>
      </c>
      <c r="AV334" s="203">
        <f t="shared" si="109"/>
        <v>0</v>
      </c>
      <c r="AW334" s="203">
        <f t="shared" si="111"/>
        <v>2150</v>
      </c>
    </row>
    <row r="335" spans="36:49" x14ac:dyDescent="0.2">
      <c r="AJ335" s="29"/>
      <c r="AK335" s="102"/>
      <c r="AL335" s="29"/>
      <c r="AU335" s="203" t="e">
        <f t="shared" ca="1" si="110"/>
        <v>#NAME?</v>
      </c>
      <c r="AV335" s="203">
        <f t="shared" si="109"/>
        <v>-100</v>
      </c>
      <c r="AW335" s="203">
        <f t="shared" si="111"/>
        <v>2150</v>
      </c>
    </row>
    <row r="336" spans="36:49" x14ac:dyDescent="0.2">
      <c r="AJ336" s="29"/>
      <c r="AK336" s="102"/>
      <c r="AL336" s="29"/>
      <c r="AU336" s="203" t="e">
        <f t="shared" ca="1" si="110"/>
        <v>#NAME?</v>
      </c>
      <c r="AV336" s="203">
        <f t="shared" si="109"/>
        <v>-200</v>
      </c>
      <c r="AW336" s="203">
        <f t="shared" si="111"/>
        <v>2150</v>
      </c>
    </row>
    <row r="337" spans="36:49" x14ac:dyDescent="0.2">
      <c r="AJ337" s="29"/>
      <c r="AK337" s="102"/>
      <c r="AL337" s="29"/>
      <c r="AU337" s="203" t="e">
        <f t="shared" ca="1" si="110"/>
        <v>#NAME?</v>
      </c>
      <c r="AV337" s="203">
        <f t="shared" si="109"/>
        <v>-300</v>
      </c>
      <c r="AW337" s="203">
        <f t="shared" si="111"/>
        <v>2150</v>
      </c>
    </row>
    <row r="338" spans="36:49" x14ac:dyDescent="0.2">
      <c r="AJ338" s="29"/>
      <c r="AK338" s="102"/>
      <c r="AL338" s="29"/>
      <c r="AU338" s="203" t="e">
        <f t="shared" ca="1" si="110"/>
        <v>#NAME?</v>
      </c>
      <c r="AV338" s="203">
        <f t="shared" si="109"/>
        <v>-400</v>
      </c>
      <c r="AW338" s="203">
        <f t="shared" si="111"/>
        <v>2150</v>
      </c>
    </row>
    <row r="339" spans="36:49" x14ac:dyDescent="0.2">
      <c r="AJ339" s="29"/>
      <c r="AK339" s="102"/>
      <c r="AL339" s="29"/>
      <c r="AU339" s="203" t="e">
        <f t="shared" ca="1" si="110"/>
        <v>#NAME?</v>
      </c>
      <c r="AV339" s="203">
        <f t="shared" si="109"/>
        <v>0</v>
      </c>
      <c r="AW339" s="203">
        <f t="shared" si="111"/>
        <v>2150</v>
      </c>
    </row>
    <row r="340" spans="36:49" x14ac:dyDescent="0.2">
      <c r="AJ340" s="29"/>
      <c r="AK340" s="101"/>
      <c r="AL340" s="29"/>
      <c r="AU340" s="203" t="e">
        <f t="shared" ca="1" si="110"/>
        <v>#NAME?</v>
      </c>
      <c r="AV340" s="203">
        <f t="shared" si="109"/>
        <v>0</v>
      </c>
      <c r="AW340" s="203">
        <f t="shared" si="111"/>
        <v>2150</v>
      </c>
    </row>
    <row r="341" spans="36:49" x14ac:dyDescent="0.2">
      <c r="AJ341" s="29"/>
      <c r="AK341" s="29"/>
      <c r="AL341" s="29"/>
      <c r="AU341" s="203" t="e">
        <f t="shared" ref="AU341:AU353" ca="1" si="112">Y7</f>
        <v>#NAME?</v>
      </c>
      <c r="AV341" s="203">
        <f t="shared" si="109"/>
        <v>0</v>
      </c>
      <c r="AW341" s="203">
        <f t="shared" ref="AW341:AW353" si="113">Y$6</f>
        <v>2250</v>
      </c>
    </row>
    <row r="342" spans="36:49" x14ac:dyDescent="0.2">
      <c r="AJ342" s="29"/>
      <c r="AK342" s="29"/>
      <c r="AL342" s="29"/>
      <c r="AU342" s="203" t="e">
        <f t="shared" ca="1" si="112"/>
        <v>#NAME?</v>
      </c>
      <c r="AV342" s="203">
        <f t="shared" si="109"/>
        <v>0</v>
      </c>
      <c r="AW342" s="203">
        <f t="shared" si="113"/>
        <v>2250</v>
      </c>
    </row>
    <row r="343" spans="36:49" x14ac:dyDescent="0.2">
      <c r="AJ343" s="29"/>
      <c r="AK343" s="29"/>
      <c r="AL343" s="29"/>
      <c r="AU343" s="203" t="e">
        <f t="shared" ca="1" si="112"/>
        <v>#NAME?</v>
      </c>
      <c r="AV343" s="203">
        <f t="shared" si="109"/>
        <v>0</v>
      </c>
      <c r="AW343" s="203">
        <f t="shared" si="113"/>
        <v>2250</v>
      </c>
    </row>
    <row r="344" spans="36:49" x14ac:dyDescent="0.2">
      <c r="AJ344" s="29"/>
      <c r="AK344" s="29"/>
      <c r="AL344" s="29"/>
      <c r="AU344" s="203" t="e">
        <f t="shared" ca="1" si="112"/>
        <v>#NAME?</v>
      </c>
      <c r="AV344" s="203">
        <f t="shared" si="109"/>
        <v>0</v>
      </c>
      <c r="AW344" s="203">
        <f t="shared" si="113"/>
        <v>2250</v>
      </c>
    </row>
    <row r="345" spans="36:49" x14ac:dyDescent="0.2">
      <c r="AJ345" s="29"/>
      <c r="AK345" s="29"/>
      <c r="AL345" s="29"/>
      <c r="AU345" s="203" t="e">
        <f t="shared" ca="1" si="112"/>
        <v>#NAME?</v>
      </c>
      <c r="AV345" s="203">
        <f t="shared" si="109"/>
        <v>0</v>
      </c>
      <c r="AW345" s="203">
        <f t="shared" si="113"/>
        <v>2250</v>
      </c>
    </row>
    <row r="346" spans="36:49" x14ac:dyDescent="0.2">
      <c r="AJ346" s="29"/>
      <c r="AK346" s="29"/>
      <c r="AL346" s="29"/>
      <c r="AU346" s="203" t="e">
        <f t="shared" ca="1" si="112"/>
        <v>#NAME?</v>
      </c>
      <c r="AV346" s="203">
        <f t="shared" si="109"/>
        <v>100</v>
      </c>
      <c r="AW346" s="203">
        <f t="shared" si="113"/>
        <v>2250</v>
      </c>
    </row>
    <row r="347" spans="36:49" x14ac:dyDescent="0.2">
      <c r="AJ347" s="29"/>
      <c r="AK347" s="29"/>
      <c r="AL347" s="29"/>
      <c r="AU347" s="203" t="e">
        <f t="shared" ca="1" si="112"/>
        <v>#NAME?</v>
      </c>
      <c r="AV347" s="203">
        <f t="shared" si="109"/>
        <v>0</v>
      </c>
      <c r="AW347" s="203">
        <f t="shared" si="113"/>
        <v>2250</v>
      </c>
    </row>
    <row r="348" spans="36:49" x14ac:dyDescent="0.2">
      <c r="AJ348" s="29"/>
      <c r="AK348" s="29"/>
      <c r="AL348" s="29"/>
      <c r="AU348" s="203" t="e">
        <f t="shared" ca="1" si="112"/>
        <v>#NAME?</v>
      </c>
      <c r="AV348" s="203">
        <f t="shared" si="109"/>
        <v>-100</v>
      </c>
      <c r="AW348" s="203">
        <f t="shared" si="113"/>
        <v>2250</v>
      </c>
    </row>
    <row r="349" spans="36:49" x14ac:dyDescent="0.2">
      <c r="AJ349" s="29"/>
      <c r="AK349" s="29"/>
      <c r="AL349" s="29"/>
      <c r="AU349" s="203" t="e">
        <f t="shared" ca="1" si="112"/>
        <v>#NAME?</v>
      </c>
      <c r="AV349" s="203">
        <f t="shared" si="109"/>
        <v>-200</v>
      </c>
      <c r="AW349" s="203">
        <f t="shared" si="113"/>
        <v>2250</v>
      </c>
    </row>
    <row r="350" spans="36:49" x14ac:dyDescent="0.2">
      <c r="AJ350" s="29"/>
      <c r="AK350" s="29"/>
      <c r="AL350" s="29"/>
      <c r="AU350" s="203" t="e">
        <f t="shared" ca="1" si="112"/>
        <v>#NAME?</v>
      </c>
      <c r="AV350" s="203">
        <f t="shared" si="109"/>
        <v>-300</v>
      </c>
      <c r="AW350" s="203">
        <f t="shared" si="113"/>
        <v>2250</v>
      </c>
    </row>
    <row r="351" spans="36:49" x14ac:dyDescent="0.2">
      <c r="AJ351" s="29"/>
      <c r="AK351" s="29"/>
      <c r="AL351" s="29"/>
      <c r="AU351" s="203" t="e">
        <f t="shared" ca="1" si="112"/>
        <v>#NAME?</v>
      </c>
      <c r="AV351" s="203">
        <f t="shared" si="109"/>
        <v>-400</v>
      </c>
      <c r="AW351" s="203">
        <f t="shared" si="113"/>
        <v>2250</v>
      </c>
    </row>
    <row r="352" spans="36:49" x14ac:dyDescent="0.2">
      <c r="AJ352" s="29"/>
      <c r="AK352" s="29"/>
      <c r="AL352" s="29"/>
      <c r="AU352" s="203" t="e">
        <f t="shared" ca="1" si="112"/>
        <v>#NAME?</v>
      </c>
      <c r="AV352" s="203">
        <f t="shared" si="109"/>
        <v>0</v>
      </c>
      <c r="AW352" s="203">
        <f t="shared" si="113"/>
        <v>2250</v>
      </c>
    </row>
    <row r="353" spans="36:49" x14ac:dyDescent="0.2">
      <c r="AJ353" s="29"/>
      <c r="AL353" s="29"/>
      <c r="AU353" s="203" t="e">
        <f t="shared" ca="1" si="112"/>
        <v>#NAME?</v>
      </c>
      <c r="AV353" s="203">
        <f t="shared" si="109"/>
        <v>0</v>
      </c>
      <c r="AW353" s="203">
        <f t="shared" si="113"/>
        <v>2250</v>
      </c>
    </row>
    <row r="354" spans="36:49" x14ac:dyDescent="0.2">
      <c r="AJ354" s="29"/>
      <c r="AK354" s="102"/>
      <c r="AL354" s="29"/>
      <c r="AU354" s="203" t="e">
        <f t="shared" ref="AU354:AU366" ca="1" si="114">Z7</f>
        <v>#NAME?</v>
      </c>
      <c r="AV354" s="203">
        <f t="shared" si="109"/>
        <v>0</v>
      </c>
      <c r="AW354" s="203">
        <f t="shared" ref="AW354:AW366" si="115">Z$6</f>
        <v>2350</v>
      </c>
    </row>
    <row r="355" spans="36:49" x14ac:dyDescent="0.2">
      <c r="AJ355" s="29"/>
      <c r="AK355" s="102"/>
      <c r="AL355" s="29"/>
      <c r="AU355" s="203" t="e">
        <f t="shared" ca="1" si="114"/>
        <v>#NAME?</v>
      </c>
      <c r="AV355" s="203">
        <f t="shared" si="109"/>
        <v>0</v>
      </c>
      <c r="AW355" s="203">
        <f t="shared" si="115"/>
        <v>2350</v>
      </c>
    </row>
    <row r="356" spans="36:49" x14ac:dyDescent="0.2">
      <c r="AJ356" s="29"/>
      <c r="AK356" s="102"/>
      <c r="AL356" s="29"/>
      <c r="AU356" s="203" t="e">
        <f t="shared" ca="1" si="114"/>
        <v>#NAME?</v>
      </c>
      <c r="AV356" s="203">
        <f t="shared" si="109"/>
        <v>0</v>
      </c>
      <c r="AW356" s="203">
        <f t="shared" si="115"/>
        <v>2350</v>
      </c>
    </row>
    <row r="357" spans="36:49" x14ac:dyDescent="0.2">
      <c r="AJ357" s="29"/>
      <c r="AK357" s="102"/>
      <c r="AL357" s="29"/>
      <c r="AU357" s="203" t="e">
        <f t="shared" ca="1" si="114"/>
        <v>#NAME?</v>
      </c>
      <c r="AV357" s="203">
        <f t="shared" si="109"/>
        <v>0</v>
      </c>
      <c r="AW357" s="203">
        <f t="shared" si="115"/>
        <v>2350</v>
      </c>
    </row>
    <row r="358" spans="36:49" x14ac:dyDescent="0.2">
      <c r="AJ358" s="29"/>
      <c r="AK358" s="102"/>
      <c r="AL358" s="29"/>
      <c r="AU358" s="203" t="e">
        <f t="shared" ca="1" si="114"/>
        <v>#NAME?</v>
      </c>
      <c r="AV358" s="203">
        <f t="shared" si="109"/>
        <v>0</v>
      </c>
      <c r="AW358" s="203">
        <f t="shared" si="115"/>
        <v>2350</v>
      </c>
    </row>
    <row r="359" spans="36:49" x14ac:dyDescent="0.2">
      <c r="AJ359" s="29"/>
      <c r="AK359" s="102"/>
      <c r="AL359" s="29"/>
      <c r="AU359" s="203" t="e">
        <f t="shared" ca="1" si="114"/>
        <v>#NAME?</v>
      </c>
      <c r="AV359" s="203">
        <f t="shared" si="109"/>
        <v>100</v>
      </c>
      <c r="AW359" s="203">
        <f t="shared" si="115"/>
        <v>2350</v>
      </c>
    </row>
    <row r="360" spans="36:49" x14ac:dyDescent="0.2">
      <c r="AJ360" s="29"/>
      <c r="AK360" s="102"/>
      <c r="AL360" s="29"/>
      <c r="AU360" s="203" t="e">
        <f t="shared" ca="1" si="114"/>
        <v>#NAME?</v>
      </c>
      <c r="AV360" s="203">
        <f t="shared" si="109"/>
        <v>0</v>
      </c>
      <c r="AW360" s="203">
        <f t="shared" si="115"/>
        <v>2350</v>
      </c>
    </row>
    <row r="361" spans="36:49" x14ac:dyDescent="0.2">
      <c r="AJ361" s="29"/>
      <c r="AK361" s="102"/>
      <c r="AL361" s="29"/>
      <c r="AU361" s="203" t="e">
        <f t="shared" ca="1" si="114"/>
        <v>#NAME?</v>
      </c>
      <c r="AV361" s="203">
        <f t="shared" si="109"/>
        <v>-100</v>
      </c>
      <c r="AW361" s="203">
        <f t="shared" si="115"/>
        <v>2350</v>
      </c>
    </row>
    <row r="362" spans="36:49" x14ac:dyDescent="0.2">
      <c r="AJ362" s="29"/>
      <c r="AK362" s="102"/>
      <c r="AL362" s="29"/>
      <c r="AU362" s="203" t="e">
        <f t="shared" ca="1" si="114"/>
        <v>#NAME?</v>
      </c>
      <c r="AV362" s="203">
        <f t="shared" si="109"/>
        <v>-200</v>
      </c>
      <c r="AW362" s="203">
        <f t="shared" si="115"/>
        <v>2350</v>
      </c>
    </row>
    <row r="363" spans="36:49" x14ac:dyDescent="0.2">
      <c r="AJ363" s="29"/>
      <c r="AK363" s="102"/>
      <c r="AL363" s="29"/>
      <c r="AU363" s="203" t="e">
        <f t="shared" ca="1" si="114"/>
        <v>#NAME?</v>
      </c>
      <c r="AV363" s="203">
        <f t="shared" si="109"/>
        <v>-300</v>
      </c>
      <c r="AW363" s="203">
        <f t="shared" si="115"/>
        <v>2350</v>
      </c>
    </row>
    <row r="364" spans="36:49" x14ac:dyDescent="0.2">
      <c r="AJ364" s="29"/>
      <c r="AK364" s="102"/>
      <c r="AL364" s="29"/>
      <c r="AU364" s="203" t="e">
        <f t="shared" ca="1" si="114"/>
        <v>#NAME?</v>
      </c>
      <c r="AV364" s="203">
        <f t="shared" si="109"/>
        <v>-400</v>
      </c>
      <c r="AW364" s="203">
        <f t="shared" si="115"/>
        <v>2350</v>
      </c>
    </row>
    <row r="365" spans="36:49" x14ac:dyDescent="0.2">
      <c r="AJ365" s="29"/>
      <c r="AK365" s="102"/>
      <c r="AL365" s="29"/>
      <c r="AU365" s="203" t="e">
        <f t="shared" ca="1" si="114"/>
        <v>#NAME?</v>
      </c>
      <c r="AV365" s="203">
        <f t="shared" si="109"/>
        <v>0</v>
      </c>
      <c r="AW365" s="203">
        <f t="shared" si="115"/>
        <v>2350</v>
      </c>
    </row>
    <row r="366" spans="36:49" x14ac:dyDescent="0.2">
      <c r="AJ366" s="29"/>
      <c r="AK366" s="101"/>
      <c r="AL366" s="29"/>
      <c r="AU366" s="203" t="e">
        <f t="shared" ca="1" si="114"/>
        <v>#NAME?</v>
      </c>
      <c r="AV366" s="203">
        <f t="shared" si="109"/>
        <v>0</v>
      </c>
      <c r="AW366" s="203">
        <f t="shared" si="115"/>
        <v>2350</v>
      </c>
    </row>
    <row r="367" spans="36:49" x14ac:dyDescent="0.2">
      <c r="AJ367" s="29"/>
      <c r="AK367" s="29"/>
      <c r="AL367" s="29"/>
      <c r="AU367" s="203" t="e">
        <f t="shared" ref="AU367:AU379" ca="1" si="116">AA7</f>
        <v>#NAME?</v>
      </c>
      <c r="AV367" s="203">
        <f t="shared" si="109"/>
        <v>0</v>
      </c>
      <c r="AW367" s="203">
        <f t="shared" ref="AW367:AW379" si="117">AA$6</f>
        <v>2450</v>
      </c>
    </row>
    <row r="368" spans="36:49" x14ac:dyDescent="0.2">
      <c r="AJ368" s="29"/>
      <c r="AK368" s="29"/>
      <c r="AL368" s="29"/>
      <c r="AU368" s="203" t="e">
        <f t="shared" ca="1" si="116"/>
        <v>#NAME?</v>
      </c>
      <c r="AV368" s="203">
        <f t="shared" si="109"/>
        <v>0</v>
      </c>
      <c r="AW368" s="203">
        <f t="shared" si="117"/>
        <v>2450</v>
      </c>
    </row>
    <row r="369" spans="36:49" x14ac:dyDescent="0.2">
      <c r="AJ369" s="29"/>
      <c r="AK369" s="29"/>
      <c r="AL369" s="29"/>
      <c r="AU369" s="203" t="e">
        <f t="shared" ca="1" si="116"/>
        <v>#NAME?</v>
      </c>
      <c r="AV369" s="203">
        <f t="shared" si="109"/>
        <v>0</v>
      </c>
      <c r="AW369" s="203">
        <f t="shared" si="117"/>
        <v>2450</v>
      </c>
    </row>
    <row r="370" spans="36:49" x14ac:dyDescent="0.2">
      <c r="AJ370" s="29"/>
      <c r="AK370" s="29"/>
      <c r="AL370" s="29"/>
      <c r="AU370" s="203" t="e">
        <f t="shared" ca="1" si="116"/>
        <v>#NAME?</v>
      </c>
      <c r="AV370" s="203">
        <f t="shared" si="109"/>
        <v>0</v>
      </c>
      <c r="AW370" s="203">
        <f t="shared" si="117"/>
        <v>2450</v>
      </c>
    </row>
    <row r="371" spans="36:49" x14ac:dyDescent="0.2">
      <c r="AJ371" s="29"/>
      <c r="AK371" s="29"/>
      <c r="AL371" s="29"/>
      <c r="AU371" s="203" t="e">
        <f t="shared" ca="1" si="116"/>
        <v>#NAME?</v>
      </c>
      <c r="AV371" s="203">
        <f t="shared" si="109"/>
        <v>0</v>
      </c>
      <c r="AW371" s="203">
        <f t="shared" si="117"/>
        <v>2450</v>
      </c>
    </row>
    <row r="372" spans="36:49" x14ac:dyDescent="0.2">
      <c r="AJ372" s="29"/>
      <c r="AK372" s="29"/>
      <c r="AL372" s="29"/>
      <c r="AU372" s="203" t="e">
        <f t="shared" ca="1" si="116"/>
        <v>#NAME?</v>
      </c>
      <c r="AV372" s="203">
        <f t="shared" si="109"/>
        <v>100</v>
      </c>
      <c r="AW372" s="203">
        <f t="shared" si="117"/>
        <v>2450</v>
      </c>
    </row>
    <row r="373" spans="36:49" x14ac:dyDescent="0.2">
      <c r="AJ373" s="29"/>
      <c r="AK373" s="29"/>
      <c r="AL373" s="29"/>
      <c r="AU373" s="203" t="e">
        <f t="shared" ca="1" si="116"/>
        <v>#NAME?</v>
      </c>
      <c r="AV373" s="203">
        <f t="shared" si="109"/>
        <v>0</v>
      </c>
      <c r="AW373" s="203">
        <f t="shared" si="117"/>
        <v>2450</v>
      </c>
    </row>
    <row r="374" spans="36:49" x14ac:dyDescent="0.2">
      <c r="AJ374" s="29"/>
      <c r="AK374" s="29"/>
      <c r="AL374" s="29"/>
      <c r="AU374" s="203" t="e">
        <f t="shared" ca="1" si="116"/>
        <v>#NAME?</v>
      </c>
      <c r="AV374" s="203">
        <f t="shared" si="109"/>
        <v>-100</v>
      </c>
      <c r="AW374" s="203">
        <f t="shared" si="117"/>
        <v>2450</v>
      </c>
    </row>
    <row r="375" spans="36:49" x14ac:dyDescent="0.2">
      <c r="AJ375" s="29"/>
      <c r="AK375" s="29"/>
      <c r="AL375" s="29"/>
      <c r="AU375" s="203" t="e">
        <f t="shared" ca="1" si="116"/>
        <v>#NAME?</v>
      </c>
      <c r="AV375" s="203">
        <f t="shared" si="109"/>
        <v>-200</v>
      </c>
      <c r="AW375" s="203">
        <f t="shared" si="117"/>
        <v>2450</v>
      </c>
    </row>
    <row r="376" spans="36:49" x14ac:dyDescent="0.2">
      <c r="AJ376" s="29"/>
      <c r="AK376" s="29"/>
      <c r="AL376" s="29"/>
      <c r="AU376" s="203" t="e">
        <f t="shared" ca="1" si="116"/>
        <v>#NAME?</v>
      </c>
      <c r="AV376" s="203">
        <f t="shared" si="109"/>
        <v>-300</v>
      </c>
      <c r="AW376" s="203">
        <f t="shared" si="117"/>
        <v>2450</v>
      </c>
    </row>
    <row r="377" spans="36:49" x14ac:dyDescent="0.2">
      <c r="AJ377" s="29"/>
      <c r="AK377" s="29"/>
      <c r="AL377" s="29"/>
      <c r="AU377" s="203" t="e">
        <f t="shared" ca="1" si="116"/>
        <v>#NAME?</v>
      </c>
      <c r="AV377" s="203">
        <f t="shared" si="109"/>
        <v>-400</v>
      </c>
      <c r="AW377" s="203">
        <f t="shared" si="117"/>
        <v>2450</v>
      </c>
    </row>
    <row r="378" spans="36:49" x14ac:dyDescent="0.2">
      <c r="AJ378" s="29"/>
      <c r="AK378" s="29"/>
      <c r="AL378" s="29"/>
      <c r="AU378" s="203" t="e">
        <f t="shared" ca="1" si="116"/>
        <v>#NAME?</v>
      </c>
      <c r="AV378" s="203">
        <f t="shared" si="109"/>
        <v>0</v>
      </c>
      <c r="AW378" s="203">
        <f t="shared" si="117"/>
        <v>2450</v>
      </c>
    </row>
    <row r="379" spans="36:49" x14ac:dyDescent="0.2">
      <c r="AJ379" s="29"/>
      <c r="AL379" s="29"/>
      <c r="AU379" s="203" t="e">
        <f t="shared" ca="1" si="116"/>
        <v>#NAME?</v>
      </c>
      <c r="AV379" s="203">
        <f t="shared" si="109"/>
        <v>0</v>
      </c>
      <c r="AW379" s="203">
        <f t="shared" si="117"/>
        <v>2450</v>
      </c>
    </row>
    <row r="380" spans="36:49" x14ac:dyDescent="0.2">
      <c r="AJ380" s="29"/>
      <c r="AK380" s="102"/>
      <c r="AL380" s="29"/>
      <c r="AU380" s="203" t="e">
        <f t="shared" ref="AU380:AU392" ca="1" si="118">AB7</f>
        <v>#NAME?</v>
      </c>
      <c r="AV380" s="203">
        <f t="shared" si="109"/>
        <v>0</v>
      </c>
      <c r="AW380" s="203">
        <f t="shared" ref="AW380:AW392" si="119">AB$6</f>
        <v>2550</v>
      </c>
    </row>
    <row r="381" spans="36:49" x14ac:dyDescent="0.2">
      <c r="AJ381" s="29"/>
      <c r="AK381" s="102"/>
      <c r="AL381" s="29"/>
      <c r="AU381" s="203" t="e">
        <f t="shared" ca="1" si="118"/>
        <v>#NAME?</v>
      </c>
      <c r="AV381" s="203">
        <f t="shared" si="109"/>
        <v>0</v>
      </c>
      <c r="AW381" s="203">
        <f t="shared" si="119"/>
        <v>2550</v>
      </c>
    </row>
    <row r="382" spans="36:49" x14ac:dyDescent="0.2">
      <c r="AJ382" s="29"/>
      <c r="AK382" s="102"/>
      <c r="AL382" s="29"/>
      <c r="AU382" s="203" t="e">
        <f t="shared" ca="1" si="118"/>
        <v>#NAME?</v>
      </c>
      <c r="AV382" s="203">
        <f t="shared" si="109"/>
        <v>0</v>
      </c>
      <c r="AW382" s="203">
        <f t="shared" si="119"/>
        <v>2550</v>
      </c>
    </row>
    <row r="383" spans="36:49" x14ac:dyDescent="0.2">
      <c r="AJ383" s="29"/>
      <c r="AK383" s="102"/>
      <c r="AL383" s="29"/>
      <c r="AU383" s="203" t="e">
        <f t="shared" ca="1" si="118"/>
        <v>#NAME?</v>
      </c>
      <c r="AV383" s="203">
        <f t="shared" si="109"/>
        <v>0</v>
      </c>
      <c r="AW383" s="203">
        <f t="shared" si="119"/>
        <v>2550</v>
      </c>
    </row>
    <row r="384" spans="36:49" x14ac:dyDescent="0.2">
      <c r="AJ384" s="29"/>
      <c r="AK384" s="102"/>
      <c r="AL384" s="29"/>
      <c r="AU384" s="203" t="e">
        <f t="shared" ca="1" si="118"/>
        <v>#NAME?</v>
      </c>
      <c r="AV384" s="203">
        <f t="shared" si="109"/>
        <v>0</v>
      </c>
      <c r="AW384" s="203">
        <f t="shared" si="119"/>
        <v>2550</v>
      </c>
    </row>
    <row r="385" spans="36:49" x14ac:dyDescent="0.2">
      <c r="AJ385" s="29"/>
      <c r="AK385" s="102"/>
      <c r="AL385" s="29"/>
      <c r="AU385" s="203" t="e">
        <f t="shared" ca="1" si="118"/>
        <v>#NAME?</v>
      </c>
      <c r="AV385" s="203">
        <f t="shared" si="109"/>
        <v>100</v>
      </c>
      <c r="AW385" s="203">
        <f t="shared" si="119"/>
        <v>2550</v>
      </c>
    </row>
    <row r="386" spans="36:49" x14ac:dyDescent="0.2">
      <c r="AJ386" s="29"/>
      <c r="AK386" s="102"/>
      <c r="AL386" s="29"/>
      <c r="AU386" s="203" t="e">
        <f t="shared" ca="1" si="118"/>
        <v>#NAME?</v>
      </c>
      <c r="AV386" s="203">
        <f t="shared" si="109"/>
        <v>0</v>
      </c>
      <c r="AW386" s="203">
        <f t="shared" si="119"/>
        <v>2550</v>
      </c>
    </row>
    <row r="387" spans="36:49" x14ac:dyDescent="0.2">
      <c r="AJ387" s="29"/>
      <c r="AK387" s="102"/>
      <c r="AL387" s="29"/>
      <c r="AU387" s="203" t="e">
        <f t="shared" ca="1" si="118"/>
        <v>#NAME?</v>
      </c>
      <c r="AV387" s="203">
        <f t="shared" si="109"/>
        <v>-100</v>
      </c>
      <c r="AW387" s="203">
        <f t="shared" si="119"/>
        <v>2550</v>
      </c>
    </row>
    <row r="388" spans="36:49" x14ac:dyDescent="0.2">
      <c r="AJ388" s="29"/>
      <c r="AK388" s="102"/>
      <c r="AL388" s="29"/>
      <c r="AU388" s="203" t="e">
        <f t="shared" ca="1" si="118"/>
        <v>#NAME?</v>
      </c>
      <c r="AV388" s="203">
        <f t="shared" ref="AV388:AV451" si="120">AV375</f>
        <v>-200</v>
      </c>
      <c r="AW388" s="203">
        <f t="shared" si="119"/>
        <v>2550</v>
      </c>
    </row>
    <row r="389" spans="36:49" x14ac:dyDescent="0.2">
      <c r="AJ389" s="29"/>
      <c r="AK389" s="102"/>
      <c r="AL389" s="29"/>
      <c r="AU389" s="203" t="e">
        <f t="shared" ca="1" si="118"/>
        <v>#NAME?</v>
      </c>
      <c r="AV389" s="203">
        <f t="shared" si="120"/>
        <v>-300</v>
      </c>
      <c r="AW389" s="203">
        <f t="shared" si="119"/>
        <v>2550</v>
      </c>
    </row>
    <row r="390" spans="36:49" x14ac:dyDescent="0.2">
      <c r="AJ390" s="29"/>
      <c r="AK390" s="102"/>
      <c r="AL390" s="29"/>
      <c r="AU390" s="203" t="e">
        <f t="shared" ca="1" si="118"/>
        <v>#NAME?</v>
      </c>
      <c r="AV390" s="203">
        <f t="shared" si="120"/>
        <v>-400</v>
      </c>
      <c r="AW390" s="203">
        <f t="shared" si="119"/>
        <v>2550</v>
      </c>
    </row>
    <row r="391" spans="36:49" x14ac:dyDescent="0.2">
      <c r="AJ391" s="29"/>
      <c r="AK391" s="102"/>
      <c r="AL391" s="29"/>
      <c r="AU391" s="203" t="e">
        <f t="shared" ca="1" si="118"/>
        <v>#NAME?</v>
      </c>
      <c r="AV391" s="203">
        <f t="shared" si="120"/>
        <v>0</v>
      </c>
      <c r="AW391" s="203">
        <f t="shared" si="119"/>
        <v>2550</v>
      </c>
    </row>
    <row r="392" spans="36:49" x14ac:dyDescent="0.2">
      <c r="AJ392" s="29"/>
      <c r="AK392" s="101"/>
      <c r="AL392" s="29"/>
      <c r="AU392" s="203" t="e">
        <f t="shared" ca="1" si="118"/>
        <v>#NAME?</v>
      </c>
      <c r="AV392" s="203">
        <f t="shared" si="120"/>
        <v>0</v>
      </c>
      <c r="AW392" s="203">
        <f t="shared" si="119"/>
        <v>2550</v>
      </c>
    </row>
    <row r="393" spans="36:49" x14ac:dyDescent="0.2">
      <c r="AJ393" s="29"/>
      <c r="AK393" s="29"/>
      <c r="AL393" s="29"/>
      <c r="AU393" s="203" t="e">
        <f t="shared" ref="AU393:AU405" ca="1" si="121">AC7</f>
        <v>#NAME?</v>
      </c>
      <c r="AV393" s="203">
        <f t="shared" si="120"/>
        <v>0</v>
      </c>
      <c r="AW393" s="203">
        <f t="shared" ref="AW393:AW405" si="122">AC$6</f>
        <v>2650</v>
      </c>
    </row>
    <row r="394" spans="36:49" x14ac:dyDescent="0.2">
      <c r="AJ394" s="29"/>
      <c r="AK394" s="29"/>
      <c r="AL394" s="29"/>
      <c r="AU394" s="203" t="e">
        <f t="shared" ca="1" si="121"/>
        <v>#NAME?</v>
      </c>
      <c r="AV394" s="203">
        <f t="shared" si="120"/>
        <v>0</v>
      </c>
      <c r="AW394" s="203">
        <f t="shared" si="122"/>
        <v>2650</v>
      </c>
    </row>
    <row r="395" spans="36:49" x14ac:dyDescent="0.2">
      <c r="AJ395" s="29"/>
      <c r="AK395" s="29"/>
      <c r="AL395" s="29"/>
      <c r="AU395" s="203" t="e">
        <f t="shared" ca="1" si="121"/>
        <v>#NAME?</v>
      </c>
      <c r="AV395" s="203">
        <f t="shared" si="120"/>
        <v>0</v>
      </c>
      <c r="AW395" s="203">
        <f t="shared" si="122"/>
        <v>2650</v>
      </c>
    </row>
    <row r="396" spans="36:49" x14ac:dyDescent="0.2">
      <c r="AJ396" s="29"/>
      <c r="AK396" s="29"/>
      <c r="AL396" s="29"/>
      <c r="AU396" s="203" t="e">
        <f t="shared" ca="1" si="121"/>
        <v>#NAME?</v>
      </c>
      <c r="AV396" s="203">
        <f t="shared" si="120"/>
        <v>0</v>
      </c>
      <c r="AW396" s="203">
        <f t="shared" si="122"/>
        <v>2650</v>
      </c>
    </row>
    <row r="397" spans="36:49" x14ac:dyDescent="0.2">
      <c r="AJ397" s="29"/>
      <c r="AK397" s="29"/>
      <c r="AL397" s="29"/>
      <c r="AU397" s="203" t="e">
        <f t="shared" ca="1" si="121"/>
        <v>#NAME?</v>
      </c>
      <c r="AV397" s="203">
        <f t="shared" si="120"/>
        <v>0</v>
      </c>
      <c r="AW397" s="203">
        <f t="shared" si="122"/>
        <v>2650</v>
      </c>
    </row>
    <row r="398" spans="36:49" x14ac:dyDescent="0.2">
      <c r="AJ398" s="29"/>
      <c r="AK398" s="29"/>
      <c r="AL398" s="29"/>
      <c r="AU398" s="203" t="e">
        <f t="shared" ca="1" si="121"/>
        <v>#NAME?</v>
      </c>
      <c r="AV398" s="203">
        <f t="shared" si="120"/>
        <v>100</v>
      </c>
      <c r="AW398" s="203">
        <f t="shared" si="122"/>
        <v>2650</v>
      </c>
    </row>
    <row r="399" spans="36:49" x14ac:dyDescent="0.2">
      <c r="AJ399" s="29"/>
      <c r="AK399" s="29"/>
      <c r="AL399" s="29"/>
      <c r="AU399" s="203" t="e">
        <f t="shared" ca="1" si="121"/>
        <v>#NAME?</v>
      </c>
      <c r="AV399" s="203">
        <f t="shared" si="120"/>
        <v>0</v>
      </c>
      <c r="AW399" s="203">
        <f t="shared" si="122"/>
        <v>2650</v>
      </c>
    </row>
    <row r="400" spans="36:49" x14ac:dyDescent="0.2">
      <c r="AJ400" s="29"/>
      <c r="AK400" s="29"/>
      <c r="AL400" s="29"/>
      <c r="AU400" s="203" t="e">
        <f t="shared" ca="1" si="121"/>
        <v>#NAME?</v>
      </c>
      <c r="AV400" s="203">
        <f t="shared" si="120"/>
        <v>-100</v>
      </c>
      <c r="AW400" s="203">
        <f t="shared" si="122"/>
        <v>2650</v>
      </c>
    </row>
    <row r="401" spans="36:49" x14ac:dyDescent="0.2">
      <c r="AJ401" s="29"/>
      <c r="AK401" s="29"/>
      <c r="AL401" s="29"/>
      <c r="AU401" s="203" t="e">
        <f t="shared" ca="1" si="121"/>
        <v>#NAME?</v>
      </c>
      <c r="AV401" s="203">
        <f t="shared" si="120"/>
        <v>-200</v>
      </c>
      <c r="AW401" s="203">
        <f t="shared" si="122"/>
        <v>2650</v>
      </c>
    </row>
    <row r="402" spans="36:49" x14ac:dyDescent="0.2">
      <c r="AJ402" s="29"/>
      <c r="AK402" s="29"/>
      <c r="AL402" s="29"/>
      <c r="AU402" s="203" t="e">
        <f t="shared" ca="1" si="121"/>
        <v>#NAME?</v>
      </c>
      <c r="AV402" s="203">
        <f t="shared" si="120"/>
        <v>-300</v>
      </c>
      <c r="AW402" s="203">
        <f t="shared" si="122"/>
        <v>2650</v>
      </c>
    </row>
    <row r="403" spans="36:49" x14ac:dyDescent="0.2">
      <c r="AJ403" s="29"/>
      <c r="AK403" s="29"/>
      <c r="AL403" s="29"/>
      <c r="AU403" s="203" t="e">
        <f t="shared" ca="1" si="121"/>
        <v>#NAME?</v>
      </c>
      <c r="AV403" s="203">
        <f t="shared" si="120"/>
        <v>-400</v>
      </c>
      <c r="AW403" s="203">
        <f t="shared" si="122"/>
        <v>2650</v>
      </c>
    </row>
    <row r="404" spans="36:49" x14ac:dyDescent="0.2">
      <c r="AJ404" s="29"/>
      <c r="AK404" s="29"/>
      <c r="AL404" s="29"/>
      <c r="AU404" s="203" t="e">
        <f t="shared" ca="1" si="121"/>
        <v>#NAME?</v>
      </c>
      <c r="AV404" s="203">
        <f t="shared" si="120"/>
        <v>0</v>
      </c>
      <c r="AW404" s="203">
        <f t="shared" si="122"/>
        <v>2650</v>
      </c>
    </row>
    <row r="405" spans="36:49" x14ac:dyDescent="0.2">
      <c r="AJ405" s="29"/>
      <c r="AL405" s="29"/>
      <c r="AU405" s="203" t="e">
        <f t="shared" ca="1" si="121"/>
        <v>#NAME?</v>
      </c>
      <c r="AV405" s="203">
        <f t="shared" si="120"/>
        <v>0</v>
      </c>
      <c r="AW405" s="203">
        <f t="shared" si="122"/>
        <v>2650</v>
      </c>
    </row>
    <row r="406" spans="36:49" x14ac:dyDescent="0.2">
      <c r="AJ406" s="29"/>
      <c r="AK406" s="102"/>
      <c r="AL406" s="29"/>
      <c r="AU406" s="203" t="e">
        <f t="shared" ref="AU406:AU418" ca="1" si="123">AD7</f>
        <v>#NAME?</v>
      </c>
      <c r="AV406" s="203">
        <f t="shared" si="120"/>
        <v>0</v>
      </c>
      <c r="AW406" s="203">
        <f t="shared" ref="AW406:AW418" si="124">AD$6</f>
        <v>2750</v>
      </c>
    </row>
    <row r="407" spans="36:49" x14ac:dyDescent="0.2">
      <c r="AJ407" s="29"/>
      <c r="AK407" s="102"/>
      <c r="AL407" s="29"/>
      <c r="AU407" s="203" t="e">
        <f t="shared" ca="1" si="123"/>
        <v>#NAME?</v>
      </c>
      <c r="AV407" s="203">
        <f t="shared" si="120"/>
        <v>0</v>
      </c>
      <c r="AW407" s="203">
        <f t="shared" si="124"/>
        <v>2750</v>
      </c>
    </row>
    <row r="408" spans="36:49" x14ac:dyDescent="0.2">
      <c r="AJ408" s="29"/>
      <c r="AK408" s="102"/>
      <c r="AL408" s="29"/>
      <c r="AU408" s="203" t="e">
        <f t="shared" ca="1" si="123"/>
        <v>#NAME?</v>
      </c>
      <c r="AV408" s="203">
        <f t="shared" si="120"/>
        <v>0</v>
      </c>
      <c r="AW408" s="203">
        <f t="shared" si="124"/>
        <v>2750</v>
      </c>
    </row>
    <row r="409" spans="36:49" x14ac:dyDescent="0.2">
      <c r="AJ409" s="29"/>
      <c r="AK409" s="102"/>
      <c r="AL409" s="29"/>
      <c r="AU409" s="203" t="e">
        <f t="shared" ca="1" si="123"/>
        <v>#NAME?</v>
      </c>
      <c r="AV409" s="203">
        <f t="shared" si="120"/>
        <v>0</v>
      </c>
      <c r="AW409" s="203">
        <f t="shared" si="124"/>
        <v>2750</v>
      </c>
    </row>
    <row r="410" spans="36:49" x14ac:dyDescent="0.2">
      <c r="AJ410" s="29"/>
      <c r="AK410" s="102"/>
      <c r="AL410" s="29"/>
      <c r="AU410" s="203" t="e">
        <f t="shared" ca="1" si="123"/>
        <v>#NAME?</v>
      </c>
      <c r="AV410" s="203">
        <f t="shared" si="120"/>
        <v>0</v>
      </c>
      <c r="AW410" s="203">
        <f t="shared" si="124"/>
        <v>2750</v>
      </c>
    </row>
    <row r="411" spans="36:49" x14ac:dyDescent="0.2">
      <c r="AJ411" s="29"/>
      <c r="AK411" s="102"/>
      <c r="AL411" s="29"/>
      <c r="AU411" s="203" t="e">
        <f t="shared" ca="1" si="123"/>
        <v>#NAME?</v>
      </c>
      <c r="AV411" s="203">
        <f t="shared" si="120"/>
        <v>100</v>
      </c>
      <c r="AW411" s="203">
        <f t="shared" si="124"/>
        <v>2750</v>
      </c>
    </row>
    <row r="412" spans="36:49" x14ac:dyDescent="0.2">
      <c r="AJ412" s="29"/>
      <c r="AK412" s="102"/>
      <c r="AL412" s="29"/>
      <c r="AU412" s="203" t="e">
        <f t="shared" ca="1" si="123"/>
        <v>#NAME?</v>
      </c>
      <c r="AV412" s="203">
        <f t="shared" si="120"/>
        <v>0</v>
      </c>
      <c r="AW412" s="203">
        <f t="shared" si="124"/>
        <v>2750</v>
      </c>
    </row>
    <row r="413" spans="36:49" x14ac:dyDescent="0.2">
      <c r="AJ413" s="29"/>
      <c r="AK413" s="102"/>
      <c r="AL413" s="29"/>
      <c r="AU413" s="203" t="e">
        <f t="shared" ca="1" si="123"/>
        <v>#NAME?</v>
      </c>
      <c r="AV413" s="203">
        <f t="shared" si="120"/>
        <v>-100</v>
      </c>
      <c r="AW413" s="203">
        <f t="shared" si="124"/>
        <v>2750</v>
      </c>
    </row>
    <row r="414" spans="36:49" x14ac:dyDescent="0.2">
      <c r="AJ414" s="29"/>
      <c r="AK414" s="102"/>
      <c r="AL414" s="29"/>
      <c r="AU414" s="203" t="e">
        <f t="shared" ca="1" si="123"/>
        <v>#NAME?</v>
      </c>
      <c r="AV414" s="203">
        <f t="shared" si="120"/>
        <v>-200</v>
      </c>
      <c r="AW414" s="203">
        <f t="shared" si="124"/>
        <v>2750</v>
      </c>
    </row>
    <row r="415" spans="36:49" x14ac:dyDescent="0.2">
      <c r="AJ415" s="29"/>
      <c r="AK415" s="102"/>
      <c r="AL415" s="29"/>
      <c r="AU415" s="203" t="e">
        <f t="shared" ca="1" si="123"/>
        <v>#NAME?</v>
      </c>
      <c r="AV415" s="203">
        <f t="shared" si="120"/>
        <v>-300</v>
      </c>
      <c r="AW415" s="203">
        <f t="shared" si="124"/>
        <v>2750</v>
      </c>
    </row>
    <row r="416" spans="36:49" x14ac:dyDescent="0.2">
      <c r="AJ416" s="29"/>
      <c r="AK416" s="102"/>
      <c r="AL416" s="29"/>
      <c r="AU416" s="203" t="e">
        <f t="shared" ca="1" si="123"/>
        <v>#NAME?</v>
      </c>
      <c r="AV416" s="203">
        <f t="shared" si="120"/>
        <v>-400</v>
      </c>
      <c r="AW416" s="203">
        <f t="shared" si="124"/>
        <v>2750</v>
      </c>
    </row>
    <row r="417" spans="36:49" x14ac:dyDescent="0.2">
      <c r="AJ417" s="29"/>
      <c r="AK417" s="102"/>
      <c r="AL417" s="29"/>
      <c r="AU417" s="203" t="e">
        <f t="shared" ca="1" si="123"/>
        <v>#NAME?</v>
      </c>
      <c r="AV417" s="203">
        <f t="shared" si="120"/>
        <v>0</v>
      </c>
      <c r="AW417" s="203">
        <f t="shared" si="124"/>
        <v>2750</v>
      </c>
    </row>
    <row r="418" spans="36:49" x14ac:dyDescent="0.2">
      <c r="AJ418" s="29"/>
      <c r="AK418" s="101"/>
      <c r="AL418" s="29"/>
      <c r="AU418" s="203" t="e">
        <f t="shared" ca="1" si="123"/>
        <v>#NAME?</v>
      </c>
      <c r="AV418" s="203">
        <f t="shared" si="120"/>
        <v>0</v>
      </c>
      <c r="AW418" s="203">
        <f t="shared" si="124"/>
        <v>2750</v>
      </c>
    </row>
    <row r="419" spans="36:49" x14ac:dyDescent="0.2">
      <c r="AJ419" s="29"/>
      <c r="AK419" s="29"/>
      <c r="AL419" s="29"/>
      <c r="AU419" s="203" t="e">
        <f t="shared" ref="AU419:AU431" ca="1" si="125">AE7</f>
        <v>#NAME?</v>
      </c>
      <c r="AV419" s="203">
        <f t="shared" si="120"/>
        <v>0</v>
      </c>
      <c r="AW419" s="203">
        <f t="shared" ref="AW419:AW431" si="126">AE$6</f>
        <v>2850</v>
      </c>
    </row>
    <row r="420" spans="36:49" x14ac:dyDescent="0.2">
      <c r="AJ420" s="29"/>
      <c r="AK420" s="29"/>
      <c r="AL420" s="29"/>
      <c r="AU420" s="203" t="e">
        <f t="shared" ca="1" si="125"/>
        <v>#NAME?</v>
      </c>
      <c r="AV420" s="203">
        <f t="shared" si="120"/>
        <v>0</v>
      </c>
      <c r="AW420" s="203">
        <f t="shared" si="126"/>
        <v>2850</v>
      </c>
    </row>
    <row r="421" spans="36:49" x14ac:dyDescent="0.2">
      <c r="AJ421" s="29"/>
      <c r="AK421" s="29"/>
      <c r="AL421" s="29"/>
      <c r="AU421" s="203" t="e">
        <f t="shared" ca="1" si="125"/>
        <v>#NAME?</v>
      </c>
      <c r="AV421" s="203">
        <f t="shared" si="120"/>
        <v>0</v>
      </c>
      <c r="AW421" s="203">
        <f t="shared" si="126"/>
        <v>2850</v>
      </c>
    </row>
    <row r="422" spans="36:49" x14ac:dyDescent="0.2">
      <c r="AJ422" s="29"/>
      <c r="AK422" s="29"/>
      <c r="AL422" s="29"/>
      <c r="AU422" s="203" t="e">
        <f t="shared" ca="1" si="125"/>
        <v>#NAME?</v>
      </c>
      <c r="AV422" s="203">
        <f t="shared" si="120"/>
        <v>0</v>
      </c>
      <c r="AW422" s="203">
        <f t="shared" si="126"/>
        <v>2850</v>
      </c>
    </row>
    <row r="423" spans="36:49" x14ac:dyDescent="0.2">
      <c r="AJ423" s="29"/>
      <c r="AK423" s="29"/>
      <c r="AL423" s="29"/>
      <c r="AU423" s="203" t="e">
        <f t="shared" ca="1" si="125"/>
        <v>#NAME?</v>
      </c>
      <c r="AV423" s="203">
        <f t="shared" si="120"/>
        <v>0</v>
      </c>
      <c r="AW423" s="203">
        <f t="shared" si="126"/>
        <v>2850</v>
      </c>
    </row>
    <row r="424" spans="36:49" x14ac:dyDescent="0.2">
      <c r="AJ424" s="29"/>
      <c r="AK424" s="29"/>
      <c r="AL424" s="29"/>
      <c r="AU424" s="203" t="e">
        <f t="shared" ca="1" si="125"/>
        <v>#NAME?</v>
      </c>
      <c r="AV424" s="203">
        <f t="shared" si="120"/>
        <v>100</v>
      </c>
      <c r="AW424" s="203">
        <f t="shared" si="126"/>
        <v>2850</v>
      </c>
    </row>
    <row r="425" spans="36:49" x14ac:dyDescent="0.2">
      <c r="AJ425" s="29"/>
      <c r="AK425" s="29"/>
      <c r="AL425" s="29"/>
      <c r="AU425" s="203" t="e">
        <f t="shared" ca="1" si="125"/>
        <v>#NAME?</v>
      </c>
      <c r="AV425" s="203">
        <f t="shared" si="120"/>
        <v>0</v>
      </c>
      <c r="AW425" s="203">
        <f t="shared" si="126"/>
        <v>2850</v>
      </c>
    </row>
    <row r="426" spans="36:49" x14ac:dyDescent="0.2">
      <c r="AJ426" s="29"/>
      <c r="AK426" s="29"/>
      <c r="AL426" s="29"/>
      <c r="AU426" s="203" t="e">
        <f t="shared" ca="1" si="125"/>
        <v>#NAME?</v>
      </c>
      <c r="AV426" s="203">
        <f t="shared" si="120"/>
        <v>-100</v>
      </c>
      <c r="AW426" s="203">
        <f t="shared" si="126"/>
        <v>2850</v>
      </c>
    </row>
    <row r="427" spans="36:49" x14ac:dyDescent="0.2">
      <c r="AJ427" s="29"/>
      <c r="AK427" s="29"/>
      <c r="AL427" s="29"/>
      <c r="AU427" s="203" t="e">
        <f t="shared" ca="1" si="125"/>
        <v>#NAME?</v>
      </c>
      <c r="AV427" s="203">
        <f t="shared" si="120"/>
        <v>-200</v>
      </c>
      <c r="AW427" s="203">
        <f t="shared" si="126"/>
        <v>2850</v>
      </c>
    </row>
    <row r="428" spans="36:49" x14ac:dyDescent="0.2">
      <c r="AJ428" s="29"/>
      <c r="AK428" s="29"/>
      <c r="AL428" s="29"/>
      <c r="AU428" s="203" t="e">
        <f t="shared" ca="1" si="125"/>
        <v>#NAME?</v>
      </c>
      <c r="AV428" s="203">
        <f t="shared" si="120"/>
        <v>-300</v>
      </c>
      <c r="AW428" s="203">
        <f t="shared" si="126"/>
        <v>2850</v>
      </c>
    </row>
    <row r="429" spans="36:49" x14ac:dyDescent="0.2">
      <c r="AJ429" s="29"/>
      <c r="AK429" s="29"/>
      <c r="AL429" s="29"/>
      <c r="AU429" s="203" t="e">
        <f t="shared" ca="1" si="125"/>
        <v>#NAME?</v>
      </c>
      <c r="AV429" s="203">
        <f t="shared" si="120"/>
        <v>-400</v>
      </c>
      <c r="AW429" s="203">
        <f t="shared" si="126"/>
        <v>2850</v>
      </c>
    </row>
    <row r="430" spans="36:49" x14ac:dyDescent="0.2">
      <c r="AJ430" s="29"/>
      <c r="AK430" s="29"/>
      <c r="AL430" s="29"/>
      <c r="AU430" s="203" t="e">
        <f t="shared" ca="1" si="125"/>
        <v>#NAME?</v>
      </c>
      <c r="AV430" s="203">
        <f t="shared" si="120"/>
        <v>0</v>
      </c>
      <c r="AW430" s="203">
        <f t="shared" si="126"/>
        <v>2850</v>
      </c>
    </row>
    <row r="431" spans="36:49" x14ac:dyDescent="0.2">
      <c r="AJ431" s="29"/>
      <c r="AL431" s="29"/>
      <c r="AU431" s="203" t="e">
        <f t="shared" ca="1" si="125"/>
        <v>#NAME?</v>
      </c>
      <c r="AV431" s="203">
        <f t="shared" si="120"/>
        <v>0</v>
      </c>
      <c r="AW431" s="203">
        <f t="shared" si="126"/>
        <v>2850</v>
      </c>
    </row>
    <row r="432" spans="36:49" x14ac:dyDescent="0.2">
      <c r="AJ432" s="29"/>
      <c r="AK432" s="102"/>
      <c r="AL432" s="29"/>
      <c r="AU432" s="203" t="e">
        <f t="shared" ref="AU432:AU444" ca="1" si="127">AF7</f>
        <v>#NAME?</v>
      </c>
      <c r="AV432" s="203">
        <f t="shared" si="120"/>
        <v>0</v>
      </c>
      <c r="AW432" s="203">
        <f t="shared" ref="AW432:AW444" si="128">AF$6</f>
        <v>2950</v>
      </c>
    </row>
    <row r="433" spans="36:49" x14ac:dyDescent="0.2">
      <c r="AJ433" s="29"/>
      <c r="AK433" s="102"/>
      <c r="AL433" s="29"/>
      <c r="AU433" s="203" t="e">
        <f t="shared" ca="1" si="127"/>
        <v>#NAME?</v>
      </c>
      <c r="AV433" s="203">
        <f t="shared" si="120"/>
        <v>0</v>
      </c>
      <c r="AW433" s="203">
        <f t="shared" si="128"/>
        <v>2950</v>
      </c>
    </row>
    <row r="434" spans="36:49" x14ac:dyDescent="0.2">
      <c r="AJ434" s="29"/>
      <c r="AK434" s="102"/>
      <c r="AL434" s="29"/>
      <c r="AU434" s="203" t="e">
        <f t="shared" ca="1" si="127"/>
        <v>#NAME?</v>
      </c>
      <c r="AV434" s="203">
        <f t="shared" si="120"/>
        <v>0</v>
      </c>
      <c r="AW434" s="203">
        <f t="shared" si="128"/>
        <v>2950</v>
      </c>
    </row>
    <row r="435" spans="36:49" x14ac:dyDescent="0.2">
      <c r="AJ435" s="29"/>
      <c r="AK435" s="102"/>
      <c r="AL435" s="29"/>
      <c r="AU435" s="203" t="e">
        <f t="shared" ca="1" si="127"/>
        <v>#NAME?</v>
      </c>
      <c r="AV435" s="203">
        <f t="shared" si="120"/>
        <v>0</v>
      </c>
      <c r="AW435" s="203">
        <f t="shared" si="128"/>
        <v>2950</v>
      </c>
    </row>
    <row r="436" spans="36:49" x14ac:dyDescent="0.2">
      <c r="AJ436" s="29"/>
      <c r="AK436" s="102"/>
      <c r="AL436" s="29"/>
      <c r="AU436" s="203" t="e">
        <f t="shared" ca="1" si="127"/>
        <v>#NAME?</v>
      </c>
      <c r="AV436" s="203">
        <f t="shared" si="120"/>
        <v>0</v>
      </c>
      <c r="AW436" s="203">
        <f t="shared" si="128"/>
        <v>2950</v>
      </c>
    </row>
    <row r="437" spans="36:49" x14ac:dyDescent="0.2">
      <c r="AJ437" s="29"/>
      <c r="AK437" s="102"/>
      <c r="AL437" s="29"/>
      <c r="AU437" s="203" t="e">
        <f t="shared" ca="1" si="127"/>
        <v>#NAME?</v>
      </c>
      <c r="AV437" s="203">
        <f t="shared" si="120"/>
        <v>100</v>
      </c>
      <c r="AW437" s="203">
        <f t="shared" si="128"/>
        <v>2950</v>
      </c>
    </row>
    <row r="438" spans="36:49" x14ac:dyDescent="0.2">
      <c r="AJ438" s="29"/>
      <c r="AK438" s="102"/>
      <c r="AL438" s="29"/>
      <c r="AU438" s="203" t="e">
        <f t="shared" ca="1" si="127"/>
        <v>#NAME?</v>
      </c>
      <c r="AV438" s="203">
        <f t="shared" si="120"/>
        <v>0</v>
      </c>
      <c r="AW438" s="203">
        <f t="shared" si="128"/>
        <v>2950</v>
      </c>
    </row>
    <row r="439" spans="36:49" x14ac:dyDescent="0.2">
      <c r="AJ439" s="29"/>
      <c r="AK439" s="102"/>
      <c r="AL439" s="29"/>
      <c r="AU439" s="203" t="e">
        <f t="shared" ca="1" si="127"/>
        <v>#NAME?</v>
      </c>
      <c r="AV439" s="203">
        <f t="shared" si="120"/>
        <v>-100</v>
      </c>
      <c r="AW439" s="203">
        <f t="shared" si="128"/>
        <v>2950</v>
      </c>
    </row>
    <row r="440" spans="36:49" x14ac:dyDescent="0.2">
      <c r="AJ440" s="29"/>
      <c r="AK440" s="102"/>
      <c r="AL440" s="29"/>
      <c r="AU440" s="203" t="e">
        <f t="shared" ca="1" si="127"/>
        <v>#NAME?</v>
      </c>
      <c r="AV440" s="203">
        <f t="shared" si="120"/>
        <v>-200</v>
      </c>
      <c r="AW440" s="203">
        <f t="shared" si="128"/>
        <v>2950</v>
      </c>
    </row>
    <row r="441" spans="36:49" x14ac:dyDescent="0.2">
      <c r="AJ441" s="29"/>
      <c r="AK441" s="102"/>
      <c r="AL441" s="29"/>
      <c r="AU441" s="203" t="e">
        <f t="shared" ca="1" si="127"/>
        <v>#NAME?</v>
      </c>
      <c r="AV441" s="203">
        <f t="shared" si="120"/>
        <v>-300</v>
      </c>
      <c r="AW441" s="203">
        <f t="shared" si="128"/>
        <v>2950</v>
      </c>
    </row>
    <row r="442" spans="36:49" x14ac:dyDescent="0.2">
      <c r="AJ442" s="29"/>
      <c r="AK442" s="102"/>
      <c r="AL442" s="29"/>
      <c r="AU442" s="203" t="e">
        <f t="shared" ca="1" si="127"/>
        <v>#NAME?</v>
      </c>
      <c r="AV442" s="203">
        <f t="shared" si="120"/>
        <v>-400</v>
      </c>
      <c r="AW442" s="203">
        <f t="shared" si="128"/>
        <v>2950</v>
      </c>
    </row>
    <row r="443" spans="36:49" x14ac:dyDescent="0.2">
      <c r="AJ443" s="29"/>
      <c r="AK443" s="102"/>
      <c r="AL443" s="29"/>
      <c r="AU443" s="203" t="e">
        <f t="shared" ca="1" si="127"/>
        <v>#NAME?</v>
      </c>
      <c r="AV443" s="203">
        <f t="shared" si="120"/>
        <v>0</v>
      </c>
      <c r="AW443" s="203">
        <f t="shared" si="128"/>
        <v>2950</v>
      </c>
    </row>
    <row r="444" spans="36:49" x14ac:dyDescent="0.2">
      <c r="AJ444" s="29"/>
      <c r="AK444" s="101"/>
      <c r="AL444" s="29"/>
      <c r="AU444" s="203" t="e">
        <f t="shared" ca="1" si="127"/>
        <v>#NAME?</v>
      </c>
      <c r="AV444" s="203">
        <f t="shared" si="120"/>
        <v>0</v>
      </c>
      <c r="AW444" s="203">
        <f t="shared" si="128"/>
        <v>2950</v>
      </c>
    </row>
    <row r="445" spans="36:49" x14ac:dyDescent="0.2">
      <c r="AJ445" s="29"/>
      <c r="AK445" s="29"/>
      <c r="AL445" s="29"/>
      <c r="AU445" s="203" t="e">
        <f t="shared" ref="AU445:AU457" ca="1" si="129">AG7</f>
        <v>#NAME?</v>
      </c>
      <c r="AV445" s="203">
        <f t="shared" si="120"/>
        <v>0</v>
      </c>
      <c r="AW445" s="203">
        <f t="shared" ref="AW445:AW457" si="130">AG$6</f>
        <v>3050</v>
      </c>
    </row>
    <row r="446" spans="36:49" x14ac:dyDescent="0.2">
      <c r="AJ446" s="29"/>
      <c r="AK446" s="29"/>
      <c r="AL446" s="29"/>
      <c r="AU446" s="203" t="e">
        <f t="shared" ca="1" si="129"/>
        <v>#NAME?</v>
      </c>
      <c r="AV446" s="203">
        <f t="shared" si="120"/>
        <v>0</v>
      </c>
      <c r="AW446" s="203">
        <f t="shared" si="130"/>
        <v>3050</v>
      </c>
    </row>
    <row r="447" spans="36:49" x14ac:dyDescent="0.2">
      <c r="AJ447" s="29"/>
      <c r="AK447" s="29"/>
      <c r="AL447" s="29"/>
      <c r="AU447" s="203" t="e">
        <f t="shared" ca="1" si="129"/>
        <v>#NAME?</v>
      </c>
      <c r="AV447" s="203">
        <f t="shared" si="120"/>
        <v>0</v>
      </c>
      <c r="AW447" s="203">
        <f t="shared" si="130"/>
        <v>3050</v>
      </c>
    </row>
    <row r="448" spans="36:49" x14ac:dyDescent="0.2">
      <c r="AJ448" s="29"/>
      <c r="AK448" s="29"/>
      <c r="AL448" s="29"/>
      <c r="AU448" s="203" t="e">
        <f t="shared" ca="1" si="129"/>
        <v>#NAME?</v>
      </c>
      <c r="AV448" s="203">
        <f t="shared" si="120"/>
        <v>0</v>
      </c>
      <c r="AW448" s="203">
        <f t="shared" si="130"/>
        <v>3050</v>
      </c>
    </row>
    <row r="449" spans="36:49" x14ac:dyDescent="0.2">
      <c r="AJ449" s="29"/>
      <c r="AK449" s="29"/>
      <c r="AL449" s="29"/>
      <c r="AU449" s="203" t="e">
        <f t="shared" ca="1" si="129"/>
        <v>#NAME?</v>
      </c>
      <c r="AV449" s="203">
        <f t="shared" si="120"/>
        <v>0</v>
      </c>
      <c r="AW449" s="203">
        <f t="shared" si="130"/>
        <v>3050</v>
      </c>
    </row>
    <row r="450" spans="36:49" x14ac:dyDescent="0.2">
      <c r="AJ450" s="29"/>
      <c r="AK450" s="29"/>
      <c r="AL450" s="29"/>
      <c r="AU450" s="203" t="e">
        <f t="shared" ca="1" si="129"/>
        <v>#NAME?</v>
      </c>
      <c r="AV450" s="203">
        <f t="shared" si="120"/>
        <v>100</v>
      </c>
      <c r="AW450" s="203">
        <f t="shared" si="130"/>
        <v>3050</v>
      </c>
    </row>
    <row r="451" spans="36:49" x14ac:dyDescent="0.2">
      <c r="AJ451" s="29"/>
      <c r="AK451" s="29"/>
      <c r="AL451" s="29"/>
      <c r="AU451" s="203" t="e">
        <f t="shared" ca="1" si="129"/>
        <v>#NAME?</v>
      </c>
      <c r="AV451" s="203">
        <f t="shared" si="120"/>
        <v>0</v>
      </c>
      <c r="AW451" s="203">
        <f t="shared" si="130"/>
        <v>3050</v>
      </c>
    </row>
    <row r="452" spans="36:49" x14ac:dyDescent="0.2">
      <c r="AJ452" s="29"/>
      <c r="AK452" s="29"/>
      <c r="AL452" s="29"/>
      <c r="AU452" s="203" t="e">
        <f t="shared" ca="1" si="129"/>
        <v>#NAME?</v>
      </c>
      <c r="AV452" s="203">
        <f t="shared" ref="AV452:AV457" si="131">AV439</f>
        <v>-100</v>
      </c>
      <c r="AW452" s="203">
        <f t="shared" si="130"/>
        <v>3050</v>
      </c>
    </row>
    <row r="453" spans="36:49" x14ac:dyDescent="0.2">
      <c r="AJ453" s="29"/>
      <c r="AK453" s="29"/>
      <c r="AL453" s="29"/>
      <c r="AU453" s="203" t="e">
        <f t="shared" ca="1" si="129"/>
        <v>#NAME?</v>
      </c>
      <c r="AV453" s="203">
        <f t="shared" si="131"/>
        <v>-200</v>
      </c>
      <c r="AW453" s="203">
        <f t="shared" si="130"/>
        <v>3050</v>
      </c>
    </row>
    <row r="454" spans="36:49" x14ac:dyDescent="0.2">
      <c r="AJ454" s="29"/>
      <c r="AK454" s="29"/>
      <c r="AL454" s="29"/>
      <c r="AU454" s="203" t="e">
        <f t="shared" ca="1" si="129"/>
        <v>#NAME?</v>
      </c>
      <c r="AV454" s="203">
        <f t="shared" si="131"/>
        <v>-300</v>
      </c>
      <c r="AW454" s="203">
        <f t="shared" si="130"/>
        <v>3050</v>
      </c>
    </row>
    <row r="455" spans="36:49" x14ac:dyDescent="0.2">
      <c r="AJ455" s="29"/>
      <c r="AK455" s="29"/>
      <c r="AL455" s="29"/>
      <c r="AU455" s="203" t="e">
        <f t="shared" ca="1" si="129"/>
        <v>#NAME?</v>
      </c>
      <c r="AV455" s="203">
        <f t="shared" si="131"/>
        <v>-400</v>
      </c>
      <c r="AW455" s="203">
        <f t="shared" si="130"/>
        <v>3050</v>
      </c>
    </row>
    <row r="456" spans="36:49" x14ac:dyDescent="0.2">
      <c r="AJ456" s="29"/>
      <c r="AK456" s="29"/>
      <c r="AL456" s="29"/>
      <c r="AU456" s="203" t="e">
        <f t="shared" ca="1" si="129"/>
        <v>#NAME?</v>
      </c>
      <c r="AV456" s="203">
        <f t="shared" si="131"/>
        <v>0</v>
      </c>
      <c r="AW456" s="203">
        <f t="shared" si="130"/>
        <v>3050</v>
      </c>
    </row>
    <row r="457" spans="36:49" x14ac:dyDescent="0.2">
      <c r="AJ457" s="29"/>
      <c r="AL457" s="29"/>
      <c r="AU457" s="203" t="e">
        <f t="shared" ca="1" si="129"/>
        <v>#NAME?</v>
      </c>
      <c r="AV457" s="203">
        <f t="shared" si="131"/>
        <v>0</v>
      </c>
      <c r="AW457" s="203">
        <f t="shared" si="130"/>
        <v>3050</v>
      </c>
    </row>
    <row r="458" spans="36:49" x14ac:dyDescent="0.2">
      <c r="AJ458" s="29"/>
      <c r="AK458" s="102"/>
      <c r="AL458" s="9"/>
      <c r="AV458" s="29"/>
    </row>
    <row r="459" spans="36:49" x14ac:dyDescent="0.2">
      <c r="AJ459" s="29"/>
      <c r="AK459" s="102"/>
      <c r="AL459" s="9"/>
      <c r="AV459" s="29"/>
    </row>
    <row r="460" spans="36:49" x14ac:dyDescent="0.2">
      <c r="AJ460" s="29"/>
      <c r="AK460" s="102"/>
      <c r="AL460" s="9"/>
      <c r="AV460" s="29"/>
    </row>
    <row r="461" spans="36:49" x14ac:dyDescent="0.2">
      <c r="AJ461" s="29"/>
      <c r="AK461" s="102"/>
      <c r="AL461" s="9"/>
      <c r="AV461" s="29"/>
    </row>
    <row r="462" spans="36:49" x14ac:dyDescent="0.2">
      <c r="AJ462" s="29"/>
      <c r="AK462" s="102"/>
      <c r="AL462" s="9"/>
      <c r="AV462" s="29"/>
    </row>
    <row r="463" spans="36:49" x14ac:dyDescent="0.2">
      <c r="AJ463" s="29"/>
      <c r="AK463" s="102"/>
      <c r="AL463" s="9"/>
      <c r="AV463" s="29"/>
    </row>
    <row r="464" spans="36:49" x14ac:dyDescent="0.2">
      <c r="AJ464" s="29"/>
      <c r="AK464" s="102"/>
      <c r="AL464" s="9"/>
      <c r="AV464" s="29"/>
    </row>
    <row r="465" spans="36:48" x14ac:dyDescent="0.2">
      <c r="AJ465" s="29"/>
      <c r="AK465" s="102"/>
      <c r="AL465" s="9"/>
      <c r="AV465" s="29"/>
    </row>
    <row r="466" spans="36:48" x14ac:dyDescent="0.2">
      <c r="AJ466" s="29"/>
      <c r="AK466" s="102"/>
      <c r="AL466" s="9"/>
      <c r="AV466" s="29"/>
    </row>
    <row r="467" spans="36:48" x14ac:dyDescent="0.2">
      <c r="AJ467" s="29"/>
      <c r="AK467" s="102"/>
      <c r="AL467" s="9"/>
      <c r="AV467" s="29"/>
    </row>
    <row r="468" spans="36:48" x14ac:dyDescent="0.2">
      <c r="AJ468" s="29"/>
      <c r="AK468" s="102"/>
      <c r="AL468" s="9"/>
      <c r="AV468" s="29"/>
    </row>
    <row r="469" spans="36:48" x14ac:dyDescent="0.2">
      <c r="AJ469" s="29"/>
      <c r="AK469" s="102"/>
      <c r="AL469" s="9"/>
      <c r="AV469" s="29"/>
    </row>
    <row r="470" spans="36:48" x14ac:dyDescent="0.2">
      <c r="AJ470" s="29"/>
      <c r="AK470" s="101"/>
      <c r="AL470" s="9"/>
      <c r="AV470" s="29"/>
    </row>
    <row r="471" spans="36:48" x14ac:dyDescent="0.2">
      <c r="AJ471" s="29"/>
      <c r="AK471" s="29"/>
      <c r="AL471" s="9"/>
      <c r="AV471" s="29"/>
    </row>
    <row r="472" spans="36:48" x14ac:dyDescent="0.2">
      <c r="AJ472" s="29"/>
      <c r="AK472" s="29"/>
      <c r="AL472" s="9"/>
      <c r="AV472" s="29"/>
    </row>
    <row r="473" spans="36:48" x14ac:dyDescent="0.2">
      <c r="AJ473" s="29"/>
      <c r="AK473" s="29"/>
      <c r="AL473" s="9"/>
      <c r="AV473" s="29"/>
    </row>
    <row r="474" spans="36:48" x14ac:dyDescent="0.2">
      <c r="AJ474" s="29"/>
      <c r="AK474" s="29"/>
      <c r="AL474" s="9"/>
      <c r="AV474" s="29"/>
    </row>
    <row r="475" spans="36:48" x14ac:dyDescent="0.2">
      <c r="AJ475" s="29"/>
      <c r="AK475" s="29"/>
      <c r="AL475" s="9"/>
      <c r="AV475" s="29"/>
    </row>
    <row r="476" spans="36:48" x14ac:dyDescent="0.2">
      <c r="AJ476" s="29"/>
      <c r="AK476" s="29"/>
      <c r="AL476" s="9"/>
      <c r="AV476" s="29"/>
    </row>
    <row r="477" spans="36:48" x14ac:dyDescent="0.2">
      <c r="AJ477" s="29"/>
      <c r="AK477" s="29"/>
      <c r="AL477" s="9"/>
      <c r="AV477" s="29"/>
    </row>
    <row r="478" spans="36:48" x14ac:dyDescent="0.2">
      <c r="AJ478" s="29"/>
      <c r="AK478" s="29"/>
      <c r="AL478" s="9"/>
      <c r="AV478" s="29"/>
    </row>
    <row r="479" spans="36:48" x14ac:dyDescent="0.2">
      <c r="AJ479" s="29"/>
      <c r="AK479" s="29"/>
      <c r="AL479" s="9"/>
      <c r="AV479" s="29"/>
    </row>
    <row r="480" spans="36:48" x14ac:dyDescent="0.2">
      <c r="AJ480" s="29"/>
      <c r="AK480" s="29"/>
      <c r="AL480" s="9"/>
      <c r="AV480" s="29"/>
    </row>
    <row r="481" spans="36:48" x14ac:dyDescent="0.2">
      <c r="AJ481" s="29"/>
      <c r="AK481" s="29"/>
      <c r="AL481" s="9"/>
      <c r="AV481" s="29"/>
    </row>
    <row r="482" spans="36:48" x14ac:dyDescent="0.2">
      <c r="AJ482" s="29"/>
      <c r="AK482" s="29"/>
      <c r="AL482" s="9"/>
      <c r="AV482" s="29"/>
    </row>
    <row r="483" spans="36:48" x14ac:dyDescent="0.2">
      <c r="AJ483" s="29"/>
      <c r="AL483" s="9"/>
      <c r="AV483" s="29"/>
    </row>
    <row r="484" spans="36:48" x14ac:dyDescent="0.2">
      <c r="AJ484" s="29"/>
      <c r="AK484" s="102"/>
      <c r="AL484" s="9"/>
    </row>
    <row r="485" spans="36:48" x14ac:dyDescent="0.2">
      <c r="AJ485" s="29"/>
      <c r="AK485" s="102"/>
      <c r="AL485" s="9"/>
    </row>
    <row r="486" spans="36:48" x14ac:dyDescent="0.2">
      <c r="AJ486" s="29"/>
      <c r="AK486" s="102"/>
      <c r="AL486" s="9"/>
    </row>
    <row r="487" spans="36:48" x14ac:dyDescent="0.2">
      <c r="AJ487" s="29"/>
      <c r="AK487" s="102"/>
      <c r="AL487" s="9"/>
    </row>
    <row r="488" spans="36:48" x14ac:dyDescent="0.2">
      <c r="AJ488" s="29"/>
      <c r="AK488" s="102"/>
      <c r="AL488" s="9"/>
    </row>
    <row r="489" spans="36:48" x14ac:dyDescent="0.2">
      <c r="AJ489" s="29"/>
      <c r="AK489" s="102"/>
      <c r="AL489" s="9"/>
    </row>
    <row r="490" spans="36:48" x14ac:dyDescent="0.2">
      <c r="AJ490" s="29"/>
      <c r="AK490" s="102"/>
      <c r="AL490" s="9"/>
    </row>
    <row r="491" spans="36:48" x14ac:dyDescent="0.2">
      <c r="AJ491" s="29"/>
      <c r="AK491" s="102"/>
      <c r="AL491" s="9"/>
    </row>
    <row r="492" spans="36:48" x14ac:dyDescent="0.2">
      <c r="AJ492" s="29"/>
      <c r="AK492" s="102"/>
      <c r="AL492" s="9"/>
    </row>
    <row r="493" spans="36:48" x14ac:dyDescent="0.2">
      <c r="AJ493" s="29"/>
      <c r="AK493" s="102"/>
      <c r="AL493" s="9"/>
    </row>
    <row r="494" spans="36:48" x14ac:dyDescent="0.2">
      <c r="AJ494" s="29"/>
      <c r="AK494" s="102"/>
      <c r="AL494" s="9"/>
    </row>
    <row r="495" spans="36:48" x14ac:dyDescent="0.2">
      <c r="AJ495" s="29"/>
      <c r="AK495" s="102"/>
      <c r="AL495" s="9"/>
    </row>
    <row r="496" spans="36:48" x14ac:dyDescent="0.2">
      <c r="AJ496" s="29"/>
      <c r="AK496" s="101"/>
      <c r="AL496" s="9"/>
    </row>
    <row r="497" spans="36:38" x14ac:dyDescent="0.2">
      <c r="AJ497" s="29"/>
      <c r="AK497" s="29"/>
      <c r="AL497" s="9"/>
    </row>
    <row r="498" spans="36:38" x14ac:dyDescent="0.2">
      <c r="AJ498" s="29"/>
      <c r="AK498" s="29"/>
      <c r="AL498" s="9"/>
    </row>
    <row r="499" spans="36:38" x14ac:dyDescent="0.2">
      <c r="AJ499" s="29"/>
      <c r="AK499" s="29"/>
      <c r="AL499" s="9"/>
    </row>
    <row r="500" spans="36:38" x14ac:dyDescent="0.2">
      <c r="AJ500" s="29"/>
      <c r="AK500" s="29"/>
      <c r="AL500" s="9"/>
    </row>
    <row r="501" spans="36:38" x14ac:dyDescent="0.2">
      <c r="AJ501" s="29"/>
      <c r="AK501" s="29"/>
      <c r="AL501" s="9"/>
    </row>
    <row r="502" spans="36:38" x14ac:dyDescent="0.2">
      <c r="AJ502" s="29"/>
      <c r="AK502" s="29"/>
      <c r="AL502" s="9"/>
    </row>
    <row r="503" spans="36:38" x14ac:dyDescent="0.2">
      <c r="AJ503" s="29"/>
      <c r="AK503" s="29"/>
      <c r="AL503" s="9"/>
    </row>
    <row r="504" spans="36:38" x14ac:dyDescent="0.2">
      <c r="AJ504" s="29"/>
      <c r="AK504" s="29"/>
      <c r="AL504" s="9"/>
    </row>
    <row r="505" spans="36:38" x14ac:dyDescent="0.2">
      <c r="AJ505" s="29"/>
      <c r="AK505" s="29"/>
      <c r="AL505" s="9"/>
    </row>
    <row r="506" spans="36:38" x14ac:dyDescent="0.2">
      <c r="AJ506" s="29"/>
      <c r="AK506" s="29"/>
      <c r="AL506" s="9"/>
    </row>
    <row r="507" spans="36:38" x14ac:dyDescent="0.2">
      <c r="AJ507" s="29"/>
      <c r="AK507" s="29"/>
      <c r="AL507" s="9"/>
    </row>
    <row r="508" spans="36:38" x14ac:dyDescent="0.2">
      <c r="AJ508" s="29"/>
      <c r="AK508" s="29"/>
      <c r="AL508" s="9"/>
    </row>
    <row r="509" spans="36:38" x14ac:dyDescent="0.2">
      <c r="AJ509" s="29"/>
      <c r="AL509" s="9"/>
    </row>
    <row r="510" spans="36:38" x14ac:dyDescent="0.2">
      <c r="AJ510" s="29"/>
      <c r="AK510" s="102"/>
      <c r="AL510" s="9"/>
    </row>
    <row r="511" spans="36:38" x14ac:dyDescent="0.2">
      <c r="AJ511" s="29"/>
      <c r="AK511" s="102"/>
      <c r="AL511" s="9"/>
    </row>
    <row r="512" spans="36:38" x14ac:dyDescent="0.2">
      <c r="AJ512" s="29"/>
      <c r="AK512" s="102"/>
      <c r="AL512" s="9"/>
    </row>
    <row r="513" spans="36:38" x14ac:dyDescent="0.2">
      <c r="AJ513" s="29"/>
      <c r="AK513" s="102"/>
      <c r="AL513" s="9"/>
    </row>
    <row r="514" spans="36:38" x14ac:dyDescent="0.2">
      <c r="AJ514" s="29"/>
      <c r="AK514" s="102"/>
      <c r="AL514" s="9"/>
    </row>
    <row r="515" spans="36:38" x14ac:dyDescent="0.2">
      <c r="AJ515" s="29"/>
      <c r="AK515" s="102"/>
      <c r="AL515" s="9"/>
    </row>
    <row r="516" spans="36:38" x14ac:dyDescent="0.2">
      <c r="AJ516" s="29"/>
      <c r="AK516" s="102"/>
      <c r="AL516" s="9"/>
    </row>
    <row r="517" spans="36:38" x14ac:dyDescent="0.2">
      <c r="AJ517" s="29"/>
      <c r="AK517" s="102"/>
      <c r="AL517" s="9"/>
    </row>
    <row r="518" spans="36:38" x14ac:dyDescent="0.2">
      <c r="AJ518" s="29"/>
      <c r="AK518" s="102"/>
      <c r="AL518" s="9"/>
    </row>
    <row r="519" spans="36:38" x14ac:dyDescent="0.2">
      <c r="AJ519" s="29"/>
      <c r="AK519" s="102"/>
    </row>
    <row r="520" spans="36:38" x14ac:dyDescent="0.2">
      <c r="AJ520" s="29"/>
      <c r="AK520" s="102"/>
    </row>
    <row r="521" spans="36:38" x14ac:dyDescent="0.2">
      <c r="AJ521" s="29"/>
      <c r="AK521" s="102"/>
    </row>
    <row r="522" spans="36:38" x14ac:dyDescent="0.2">
      <c r="AJ522" s="29"/>
      <c r="AK522" s="101"/>
    </row>
    <row r="523" spans="36:38" x14ac:dyDescent="0.2">
      <c r="AJ523" s="29"/>
      <c r="AK523" s="29"/>
    </row>
    <row r="524" spans="36:38" x14ac:dyDescent="0.2">
      <c r="AJ524" s="29"/>
      <c r="AK524" s="29"/>
    </row>
    <row r="525" spans="36:38" x14ac:dyDescent="0.2">
      <c r="AJ525" s="29"/>
      <c r="AK525" s="29"/>
    </row>
    <row r="526" spans="36:38" x14ac:dyDescent="0.2">
      <c r="AJ526" s="29"/>
      <c r="AK526" s="29"/>
    </row>
    <row r="527" spans="36:38" x14ac:dyDescent="0.2">
      <c r="AJ527" s="29"/>
      <c r="AK527" s="29"/>
    </row>
    <row r="528" spans="36:38" x14ac:dyDescent="0.2">
      <c r="AJ528" s="29"/>
      <c r="AK528" s="29"/>
    </row>
    <row r="529" spans="36:37" x14ac:dyDescent="0.2">
      <c r="AJ529" s="29"/>
      <c r="AK529" s="29"/>
    </row>
    <row r="530" spans="36:37" x14ac:dyDescent="0.2">
      <c r="AJ530" s="29"/>
      <c r="AK530" s="29"/>
    </row>
    <row r="531" spans="36:37" x14ac:dyDescent="0.2">
      <c r="AJ531" s="29"/>
      <c r="AK531" s="29"/>
    </row>
    <row r="532" spans="36:37" x14ac:dyDescent="0.2">
      <c r="AJ532" s="29"/>
      <c r="AK532" s="29"/>
    </row>
    <row r="533" spans="36:37" x14ac:dyDescent="0.2">
      <c r="AJ533" s="29"/>
      <c r="AK533" s="29"/>
    </row>
    <row r="534" spans="36:37" x14ac:dyDescent="0.2">
      <c r="AJ534" s="29"/>
      <c r="AK534" s="29"/>
    </row>
    <row r="535" spans="36:37" x14ac:dyDescent="0.2">
      <c r="AJ535" s="29"/>
    </row>
  </sheetData>
  <protectedRanges>
    <protectedRange sqref="U29 N3:S3 I28:J30" name="Range1"/>
  </protectedRanges>
  <customSheetViews>
    <customSheetView guid="{128C05F9-A66F-452B-AC6A-BA076995E294}" showRuler="0">
      <selection activeCell="N31" sqref="N31"/>
      <pageMargins left="0.75" right="0.75" top="1" bottom="1" header="0.5" footer="0.5"/>
      <pageSetup orientation="portrait" r:id="rId1"/>
      <headerFooter alignWithMargins="0"/>
    </customSheetView>
  </customSheetViews>
  <mergeCells count="19">
    <mergeCell ref="I33:J33"/>
    <mergeCell ref="AE27:AG27"/>
    <mergeCell ref="G33:H33"/>
    <mergeCell ref="I32:J32"/>
    <mergeCell ref="AE32:AG32"/>
    <mergeCell ref="AE30:AG30"/>
    <mergeCell ref="G32:H32"/>
    <mergeCell ref="C21:AG21"/>
    <mergeCell ref="I29:J29"/>
    <mergeCell ref="I30:J30"/>
    <mergeCell ref="I28:J28"/>
    <mergeCell ref="AE26:AG26"/>
    <mergeCell ref="AE29:AG29"/>
    <mergeCell ref="AE31:AG31"/>
    <mergeCell ref="N3:O3"/>
    <mergeCell ref="P3:Q3"/>
    <mergeCell ref="R3:S3"/>
    <mergeCell ref="AU5:AW5"/>
    <mergeCell ref="AU6:AW6"/>
  </mergeCells>
  <phoneticPr fontId="2" type="noConversion"/>
  <conditionalFormatting sqref="C85:AG97 C7:AG19">
    <cfRule type="cellIs" dxfId="244" priority="251" stopIfTrue="1" operator="lessThan">
      <formula>$R$3</formula>
    </cfRule>
    <cfRule type="cellIs" dxfId="243" priority="252" stopIfTrue="1" operator="between">
      <formula>$R$3</formula>
      <formula>$P$3</formula>
    </cfRule>
    <cfRule type="cellIs" dxfId="242" priority="254" stopIfTrue="1" operator="greaterThan">
      <formula>$N$3</formula>
    </cfRule>
    <cfRule type="cellIs" dxfId="241" priority="255" stopIfTrue="1" operator="between">
      <formula>$N$3</formula>
      <formula>$P$3</formula>
    </cfRule>
    <cfRule type="cellIs" dxfId="240" priority="256" stopIfTrue="1" operator="between">
      <formula>$P$3</formula>
      <formula>$R$3</formula>
    </cfRule>
  </conditionalFormatting>
  <conditionalFormatting sqref="C69">
    <cfRule type="cellIs" dxfId="239" priority="246" stopIfTrue="1" operator="lessThan">
      <formula>$R$3</formula>
    </cfRule>
    <cfRule type="cellIs" dxfId="238" priority="247" stopIfTrue="1" operator="between">
      <formula>$R$3</formula>
      <formula>$P$3</formula>
    </cfRule>
    <cfRule type="cellIs" dxfId="237" priority="248" stopIfTrue="1" operator="greaterThan">
      <formula>$N$3</formula>
    </cfRule>
    <cfRule type="cellIs" dxfId="236" priority="249" stopIfTrue="1" operator="between">
      <formula>$N$3</formula>
      <formula>$P$3</formula>
    </cfRule>
    <cfRule type="cellIs" dxfId="235" priority="250" stopIfTrue="1" operator="between">
      <formula>$P$3</formula>
      <formula>$R$3</formula>
    </cfRule>
  </conditionalFormatting>
  <conditionalFormatting sqref="C68">
    <cfRule type="cellIs" dxfId="234" priority="241" stopIfTrue="1" operator="lessThan">
      <formula>$R$3</formula>
    </cfRule>
    <cfRule type="cellIs" dxfId="233" priority="242" stopIfTrue="1" operator="between">
      <formula>$R$3</formula>
      <formula>$P$3</formula>
    </cfRule>
    <cfRule type="cellIs" dxfId="232" priority="243" stopIfTrue="1" operator="greaterThan">
      <formula>$N$3</formula>
    </cfRule>
    <cfRule type="cellIs" dxfId="231" priority="244" stopIfTrue="1" operator="between">
      <formula>$N$3</formula>
      <formula>$P$3</formula>
    </cfRule>
    <cfRule type="cellIs" dxfId="230" priority="245" stopIfTrue="1" operator="between">
      <formula>$P$3</formula>
      <formula>$R$3</formula>
    </cfRule>
  </conditionalFormatting>
  <conditionalFormatting sqref="C67">
    <cfRule type="cellIs" dxfId="229" priority="236" stopIfTrue="1" operator="lessThan">
      <formula>$R$3</formula>
    </cfRule>
    <cfRule type="cellIs" dxfId="228" priority="237" stopIfTrue="1" operator="between">
      <formula>$R$3</formula>
      <formula>$P$3</formula>
    </cfRule>
    <cfRule type="cellIs" dxfId="227" priority="238" stopIfTrue="1" operator="greaterThan">
      <formula>$N$3</formula>
    </cfRule>
    <cfRule type="cellIs" dxfId="226" priority="239" stopIfTrue="1" operator="between">
      <formula>$N$3</formula>
      <formula>$P$3</formula>
    </cfRule>
    <cfRule type="cellIs" dxfId="225" priority="240" stopIfTrue="1" operator="between">
      <formula>$P$3</formula>
      <formula>$R$3</formula>
    </cfRule>
  </conditionalFormatting>
  <conditionalFormatting sqref="C66">
    <cfRule type="cellIs" dxfId="224" priority="231" stopIfTrue="1" operator="lessThan">
      <formula>$R$3</formula>
    </cfRule>
    <cfRule type="cellIs" dxfId="223" priority="232" stopIfTrue="1" operator="between">
      <formula>$R$3</formula>
      <formula>$P$3</formula>
    </cfRule>
    <cfRule type="cellIs" dxfId="222" priority="233" stopIfTrue="1" operator="greaterThan">
      <formula>$N$3</formula>
    </cfRule>
    <cfRule type="cellIs" dxfId="221" priority="234" stopIfTrue="1" operator="between">
      <formula>$N$3</formula>
      <formula>$P$3</formula>
    </cfRule>
    <cfRule type="cellIs" dxfId="220" priority="235" stopIfTrue="1" operator="between">
      <formula>$P$3</formula>
      <formula>$R$3</formula>
    </cfRule>
  </conditionalFormatting>
  <conditionalFormatting sqref="C65">
    <cfRule type="cellIs" dxfId="219" priority="226" stopIfTrue="1" operator="lessThan">
      <formula>$R$3</formula>
    </cfRule>
    <cfRule type="cellIs" dxfId="218" priority="227" stopIfTrue="1" operator="between">
      <formula>$R$3</formula>
      <formula>$P$3</formula>
    </cfRule>
    <cfRule type="cellIs" dxfId="217" priority="228" stopIfTrue="1" operator="greaterThan">
      <formula>$N$3</formula>
    </cfRule>
    <cfRule type="cellIs" dxfId="216" priority="229" stopIfTrue="1" operator="between">
      <formula>$N$3</formula>
      <formula>$P$3</formula>
    </cfRule>
    <cfRule type="cellIs" dxfId="215" priority="230" stopIfTrue="1" operator="between">
      <formula>$P$3</formula>
      <formula>$R$3</formula>
    </cfRule>
  </conditionalFormatting>
  <conditionalFormatting sqref="C64">
    <cfRule type="cellIs" dxfId="214" priority="221" stopIfTrue="1" operator="lessThan">
      <formula>$R$3</formula>
    </cfRule>
    <cfRule type="cellIs" dxfId="213" priority="222" stopIfTrue="1" operator="between">
      <formula>$R$3</formula>
      <formula>$P$3</formula>
    </cfRule>
    <cfRule type="cellIs" dxfId="212" priority="223" stopIfTrue="1" operator="greaterThan">
      <formula>$N$3</formula>
    </cfRule>
    <cfRule type="cellIs" dxfId="211" priority="224" stopIfTrue="1" operator="between">
      <formula>$N$3</formula>
      <formula>$P$3</formula>
    </cfRule>
    <cfRule type="cellIs" dxfId="210" priority="225" stopIfTrue="1" operator="between">
      <formula>$P$3</formula>
      <formula>$R$3</formula>
    </cfRule>
  </conditionalFormatting>
  <conditionalFormatting sqref="C63">
    <cfRule type="cellIs" dxfId="209" priority="216" stopIfTrue="1" operator="lessThan">
      <formula>$R$3</formula>
    </cfRule>
    <cfRule type="cellIs" dxfId="208" priority="217" stopIfTrue="1" operator="between">
      <formula>$R$3</formula>
      <formula>$P$3</formula>
    </cfRule>
    <cfRule type="cellIs" dxfId="207" priority="218" stopIfTrue="1" operator="greaterThan">
      <formula>$N$3</formula>
    </cfRule>
    <cfRule type="cellIs" dxfId="206" priority="219" stopIfTrue="1" operator="between">
      <formula>$N$3</formula>
      <formula>$P$3</formula>
    </cfRule>
    <cfRule type="cellIs" dxfId="205" priority="220" stopIfTrue="1" operator="between">
      <formula>$P$3</formula>
      <formula>$R$3</formula>
    </cfRule>
  </conditionalFormatting>
  <conditionalFormatting sqref="D69:AG69">
    <cfRule type="cellIs" dxfId="204" priority="211" stopIfTrue="1" operator="lessThan">
      <formula>$R$3</formula>
    </cfRule>
    <cfRule type="cellIs" dxfId="203" priority="212" stopIfTrue="1" operator="between">
      <formula>$R$3</formula>
      <formula>$P$3</formula>
    </cfRule>
    <cfRule type="cellIs" dxfId="202" priority="213" stopIfTrue="1" operator="greaterThan">
      <formula>$N$3</formula>
    </cfRule>
    <cfRule type="cellIs" dxfId="201" priority="214" stopIfTrue="1" operator="between">
      <formula>$N$3</formula>
      <formula>$P$3</formula>
    </cfRule>
    <cfRule type="cellIs" dxfId="200" priority="215" stopIfTrue="1" operator="between">
      <formula>$P$3</formula>
      <formula>$R$3</formula>
    </cfRule>
  </conditionalFormatting>
  <conditionalFormatting sqref="D68:AG68">
    <cfRule type="cellIs" dxfId="199" priority="206" stopIfTrue="1" operator="lessThan">
      <formula>$R$3</formula>
    </cfRule>
    <cfRule type="cellIs" dxfId="198" priority="207" stopIfTrue="1" operator="between">
      <formula>$R$3</formula>
      <formula>$P$3</formula>
    </cfRule>
    <cfRule type="cellIs" dxfId="197" priority="208" stopIfTrue="1" operator="greaterThan">
      <formula>$N$3</formula>
    </cfRule>
    <cfRule type="cellIs" dxfId="196" priority="209" stopIfTrue="1" operator="between">
      <formula>$N$3</formula>
      <formula>$P$3</formula>
    </cfRule>
    <cfRule type="cellIs" dxfId="195" priority="210" stopIfTrue="1" operator="between">
      <formula>$P$3</formula>
      <formula>$R$3</formula>
    </cfRule>
  </conditionalFormatting>
  <conditionalFormatting sqref="D67:AG67">
    <cfRule type="cellIs" dxfId="194" priority="201" stopIfTrue="1" operator="lessThan">
      <formula>$R$3</formula>
    </cfRule>
    <cfRule type="cellIs" dxfId="193" priority="202" stopIfTrue="1" operator="between">
      <formula>$R$3</formula>
      <formula>$P$3</formula>
    </cfRule>
    <cfRule type="cellIs" dxfId="192" priority="203" stopIfTrue="1" operator="greaterThan">
      <formula>$N$3</formula>
    </cfRule>
    <cfRule type="cellIs" dxfId="191" priority="204" stopIfTrue="1" operator="between">
      <formula>$N$3</formula>
      <formula>$P$3</formula>
    </cfRule>
    <cfRule type="cellIs" dxfId="190" priority="205" stopIfTrue="1" operator="between">
      <formula>$P$3</formula>
      <formula>$R$3</formula>
    </cfRule>
  </conditionalFormatting>
  <conditionalFormatting sqref="D66:AG66">
    <cfRule type="cellIs" dxfId="189" priority="196" stopIfTrue="1" operator="lessThan">
      <formula>$R$3</formula>
    </cfRule>
    <cfRule type="cellIs" dxfId="188" priority="197" stopIfTrue="1" operator="between">
      <formula>$R$3</formula>
      <formula>$P$3</formula>
    </cfRule>
    <cfRule type="cellIs" dxfId="187" priority="198" stopIfTrue="1" operator="greaterThan">
      <formula>$N$3</formula>
    </cfRule>
    <cfRule type="cellIs" dxfId="186" priority="199" stopIfTrue="1" operator="between">
      <formula>$N$3</formula>
      <formula>$P$3</formula>
    </cfRule>
    <cfRule type="cellIs" dxfId="185" priority="200" stopIfTrue="1" operator="between">
      <formula>$P$3</formula>
      <formula>$R$3</formula>
    </cfRule>
  </conditionalFormatting>
  <conditionalFormatting sqref="D65:AG65">
    <cfRule type="cellIs" dxfId="184" priority="191" stopIfTrue="1" operator="lessThan">
      <formula>$R$3</formula>
    </cfRule>
    <cfRule type="cellIs" dxfId="183" priority="192" stopIfTrue="1" operator="between">
      <formula>$R$3</formula>
      <formula>$P$3</formula>
    </cfRule>
    <cfRule type="cellIs" dxfId="182" priority="193" stopIfTrue="1" operator="greaterThan">
      <formula>$N$3</formula>
    </cfRule>
    <cfRule type="cellIs" dxfId="181" priority="194" stopIfTrue="1" operator="between">
      <formula>$N$3</formula>
      <formula>$P$3</formula>
    </cfRule>
    <cfRule type="cellIs" dxfId="180" priority="195" stopIfTrue="1" operator="between">
      <formula>$P$3</formula>
      <formula>$R$3</formula>
    </cfRule>
  </conditionalFormatting>
  <conditionalFormatting sqref="D64:AG64">
    <cfRule type="cellIs" dxfId="179" priority="186" stopIfTrue="1" operator="lessThan">
      <formula>$R$3</formula>
    </cfRule>
    <cfRule type="cellIs" dxfId="178" priority="187" stopIfTrue="1" operator="between">
      <formula>$R$3</formula>
      <formula>$P$3</formula>
    </cfRule>
    <cfRule type="cellIs" dxfId="177" priority="188" stopIfTrue="1" operator="greaterThan">
      <formula>$N$3</formula>
    </cfRule>
    <cfRule type="cellIs" dxfId="176" priority="189" stopIfTrue="1" operator="between">
      <formula>$N$3</formula>
      <formula>$P$3</formula>
    </cfRule>
    <cfRule type="cellIs" dxfId="175" priority="190" stopIfTrue="1" operator="between">
      <formula>$P$3</formula>
      <formula>$R$3</formula>
    </cfRule>
  </conditionalFormatting>
  <conditionalFormatting sqref="D63:AG63">
    <cfRule type="cellIs" dxfId="174" priority="181" stopIfTrue="1" operator="lessThan">
      <formula>$R$3</formula>
    </cfRule>
    <cfRule type="cellIs" dxfId="173" priority="182" stopIfTrue="1" operator="between">
      <formula>$R$3</formula>
      <formula>$P$3</formula>
    </cfRule>
    <cfRule type="cellIs" dxfId="172" priority="183" stopIfTrue="1" operator="greaterThan">
      <formula>$N$3</formula>
    </cfRule>
    <cfRule type="cellIs" dxfId="171" priority="184" stopIfTrue="1" operator="between">
      <formula>$N$3</formula>
      <formula>$P$3</formula>
    </cfRule>
    <cfRule type="cellIs" dxfId="170" priority="185" stopIfTrue="1" operator="between">
      <formula>$P$3</formula>
      <formula>$R$3</formula>
    </cfRule>
  </conditionalFormatting>
  <conditionalFormatting sqref="C70">
    <cfRule type="cellIs" dxfId="169" priority="176" stopIfTrue="1" operator="lessThan">
      <formula>$R$3</formula>
    </cfRule>
    <cfRule type="cellIs" dxfId="168" priority="177" stopIfTrue="1" operator="between">
      <formula>$R$3</formula>
      <formula>$P$3</formula>
    </cfRule>
    <cfRule type="cellIs" dxfId="167" priority="178" stopIfTrue="1" operator="greaterThan">
      <formula>$N$3</formula>
    </cfRule>
    <cfRule type="cellIs" dxfId="166" priority="179" stopIfTrue="1" operator="between">
      <formula>$N$3</formula>
      <formula>$P$3</formula>
    </cfRule>
    <cfRule type="cellIs" dxfId="165" priority="180" stopIfTrue="1" operator="between">
      <formula>$P$3</formula>
      <formula>$R$3</formula>
    </cfRule>
  </conditionalFormatting>
  <conditionalFormatting sqref="C71">
    <cfRule type="cellIs" dxfId="164" priority="171" stopIfTrue="1" operator="lessThan">
      <formula>$R$3</formula>
    </cfRule>
    <cfRule type="cellIs" dxfId="163" priority="172" stopIfTrue="1" operator="between">
      <formula>$R$3</formula>
      <formula>$P$3</formula>
    </cfRule>
    <cfRule type="cellIs" dxfId="162" priority="173" stopIfTrue="1" operator="greaterThan">
      <formula>$N$3</formula>
    </cfRule>
    <cfRule type="cellIs" dxfId="161" priority="174" stopIfTrue="1" operator="between">
      <formula>$N$3</formula>
      <formula>$P$3</formula>
    </cfRule>
    <cfRule type="cellIs" dxfId="160" priority="175" stopIfTrue="1" operator="between">
      <formula>$P$3</formula>
      <formula>$R$3</formula>
    </cfRule>
  </conditionalFormatting>
  <conditionalFormatting sqref="C72">
    <cfRule type="cellIs" dxfId="159" priority="166" stopIfTrue="1" operator="lessThan">
      <formula>$R$3</formula>
    </cfRule>
    <cfRule type="cellIs" dxfId="158" priority="167" stopIfTrue="1" operator="between">
      <formula>$R$3</formula>
      <formula>$P$3</formula>
    </cfRule>
    <cfRule type="cellIs" dxfId="157" priority="168" stopIfTrue="1" operator="greaterThan">
      <formula>$N$3</formula>
    </cfRule>
    <cfRule type="cellIs" dxfId="156" priority="169" stopIfTrue="1" operator="between">
      <formula>$N$3</formula>
      <formula>$P$3</formula>
    </cfRule>
    <cfRule type="cellIs" dxfId="155" priority="170" stopIfTrue="1" operator="between">
      <formula>$P$3</formula>
      <formula>$R$3</formula>
    </cfRule>
  </conditionalFormatting>
  <conditionalFormatting sqref="C73">
    <cfRule type="cellIs" dxfId="154" priority="161" stopIfTrue="1" operator="lessThan">
      <formula>$R$3</formula>
    </cfRule>
    <cfRule type="cellIs" dxfId="153" priority="162" stopIfTrue="1" operator="between">
      <formula>$R$3</formula>
      <formula>$P$3</formula>
    </cfRule>
    <cfRule type="cellIs" dxfId="152" priority="163" stopIfTrue="1" operator="greaterThan">
      <formula>$N$3</formula>
    </cfRule>
    <cfRule type="cellIs" dxfId="151" priority="164" stopIfTrue="1" operator="between">
      <formula>$N$3</formula>
      <formula>$P$3</formula>
    </cfRule>
    <cfRule type="cellIs" dxfId="150" priority="165" stopIfTrue="1" operator="between">
      <formula>$P$3</formula>
      <formula>$R$3</formula>
    </cfRule>
  </conditionalFormatting>
  <conditionalFormatting sqref="C74">
    <cfRule type="cellIs" dxfId="149" priority="156" stopIfTrue="1" operator="lessThan">
      <formula>$R$3</formula>
    </cfRule>
    <cfRule type="cellIs" dxfId="148" priority="157" stopIfTrue="1" operator="between">
      <formula>$R$3</formula>
      <formula>$P$3</formula>
    </cfRule>
    <cfRule type="cellIs" dxfId="147" priority="158" stopIfTrue="1" operator="greaterThan">
      <formula>$N$3</formula>
    </cfRule>
    <cfRule type="cellIs" dxfId="146" priority="159" stopIfTrue="1" operator="between">
      <formula>$N$3</formula>
      <formula>$P$3</formula>
    </cfRule>
    <cfRule type="cellIs" dxfId="145" priority="160" stopIfTrue="1" operator="between">
      <formula>$P$3</formula>
      <formula>$R$3</formula>
    </cfRule>
  </conditionalFormatting>
  <conditionalFormatting sqref="C75">
    <cfRule type="cellIs" dxfId="144" priority="151" stopIfTrue="1" operator="lessThan">
      <formula>$R$3</formula>
    </cfRule>
    <cfRule type="cellIs" dxfId="143" priority="152" stopIfTrue="1" operator="between">
      <formula>$R$3</formula>
      <formula>$P$3</formula>
    </cfRule>
    <cfRule type="cellIs" dxfId="142" priority="153" stopIfTrue="1" operator="greaterThan">
      <formula>$N$3</formula>
    </cfRule>
    <cfRule type="cellIs" dxfId="141" priority="154" stopIfTrue="1" operator="between">
      <formula>$N$3</formula>
      <formula>$P$3</formula>
    </cfRule>
    <cfRule type="cellIs" dxfId="140" priority="155" stopIfTrue="1" operator="between">
      <formula>$P$3</formula>
      <formula>$R$3</formula>
    </cfRule>
  </conditionalFormatting>
  <conditionalFormatting sqref="D70:AG70">
    <cfRule type="cellIs" dxfId="139" priority="146" stopIfTrue="1" operator="lessThan">
      <formula>$R$3</formula>
    </cfRule>
    <cfRule type="cellIs" dxfId="138" priority="147" stopIfTrue="1" operator="between">
      <formula>$R$3</formula>
      <formula>$P$3</formula>
    </cfRule>
    <cfRule type="cellIs" dxfId="137" priority="148" stopIfTrue="1" operator="greaterThan">
      <formula>$N$3</formula>
    </cfRule>
    <cfRule type="cellIs" dxfId="136" priority="149" stopIfTrue="1" operator="between">
      <formula>$N$3</formula>
      <formula>$P$3</formula>
    </cfRule>
    <cfRule type="cellIs" dxfId="135" priority="150" stopIfTrue="1" operator="between">
      <formula>$P$3</formula>
      <formula>$R$3</formula>
    </cfRule>
  </conditionalFormatting>
  <conditionalFormatting sqref="D71:AG71">
    <cfRule type="cellIs" dxfId="134" priority="141" stopIfTrue="1" operator="lessThan">
      <formula>$R$3</formula>
    </cfRule>
    <cfRule type="cellIs" dxfId="133" priority="142" stopIfTrue="1" operator="between">
      <formula>$R$3</formula>
      <formula>$P$3</formula>
    </cfRule>
    <cfRule type="cellIs" dxfId="132" priority="143" stopIfTrue="1" operator="greaterThan">
      <formula>$N$3</formula>
    </cfRule>
    <cfRule type="cellIs" dxfId="131" priority="144" stopIfTrue="1" operator="between">
      <formula>$N$3</formula>
      <formula>$P$3</formula>
    </cfRule>
    <cfRule type="cellIs" dxfId="130" priority="145" stopIfTrue="1" operator="between">
      <formula>$P$3</formula>
      <formula>$R$3</formula>
    </cfRule>
  </conditionalFormatting>
  <conditionalFormatting sqref="D72:AG72">
    <cfRule type="cellIs" dxfId="129" priority="136" stopIfTrue="1" operator="lessThan">
      <formula>$R$3</formula>
    </cfRule>
    <cfRule type="cellIs" dxfId="128" priority="137" stopIfTrue="1" operator="between">
      <formula>$R$3</formula>
      <formula>$P$3</formula>
    </cfRule>
    <cfRule type="cellIs" dxfId="127" priority="138" stopIfTrue="1" operator="greaterThan">
      <formula>$N$3</formula>
    </cfRule>
    <cfRule type="cellIs" dxfId="126" priority="139" stopIfTrue="1" operator="between">
      <formula>$N$3</formula>
      <formula>$P$3</formula>
    </cfRule>
    <cfRule type="cellIs" dxfId="125" priority="140" stopIfTrue="1" operator="between">
      <formula>$P$3</formula>
      <formula>$R$3</formula>
    </cfRule>
  </conditionalFormatting>
  <conditionalFormatting sqref="D73:AG73">
    <cfRule type="cellIs" dxfId="124" priority="131" stopIfTrue="1" operator="lessThan">
      <formula>$R$3</formula>
    </cfRule>
    <cfRule type="cellIs" dxfId="123" priority="132" stopIfTrue="1" operator="between">
      <formula>$R$3</formula>
      <formula>$P$3</formula>
    </cfRule>
    <cfRule type="cellIs" dxfId="122" priority="133" stopIfTrue="1" operator="greaterThan">
      <formula>$N$3</formula>
    </cfRule>
    <cfRule type="cellIs" dxfId="121" priority="134" stopIfTrue="1" operator="between">
      <formula>$N$3</formula>
      <formula>$P$3</formula>
    </cfRule>
    <cfRule type="cellIs" dxfId="120" priority="135" stopIfTrue="1" operator="between">
      <formula>$P$3</formula>
      <formula>$R$3</formula>
    </cfRule>
  </conditionalFormatting>
  <conditionalFormatting sqref="D74:AG74">
    <cfRule type="cellIs" dxfId="119" priority="126" stopIfTrue="1" operator="lessThan">
      <formula>$R$3</formula>
    </cfRule>
    <cfRule type="cellIs" dxfId="118" priority="127" stopIfTrue="1" operator="between">
      <formula>$R$3</formula>
      <formula>$P$3</formula>
    </cfRule>
    <cfRule type="cellIs" dxfId="117" priority="128" stopIfTrue="1" operator="greaterThan">
      <formula>$N$3</formula>
    </cfRule>
    <cfRule type="cellIs" dxfId="116" priority="129" stopIfTrue="1" operator="between">
      <formula>$N$3</formula>
      <formula>$P$3</formula>
    </cfRule>
    <cfRule type="cellIs" dxfId="115" priority="130" stopIfTrue="1" operator="between">
      <formula>$P$3</formula>
      <formula>$R$3</formula>
    </cfRule>
  </conditionalFormatting>
  <conditionalFormatting sqref="D75:AG75">
    <cfRule type="cellIs" dxfId="114" priority="121" stopIfTrue="1" operator="lessThan">
      <formula>$R$3</formula>
    </cfRule>
    <cfRule type="cellIs" dxfId="113" priority="122" stopIfTrue="1" operator="between">
      <formula>$R$3</formula>
      <formula>$P$3</formula>
    </cfRule>
    <cfRule type="cellIs" dxfId="112" priority="123" stopIfTrue="1" operator="greaterThan">
      <formula>$N$3</formula>
    </cfRule>
    <cfRule type="cellIs" dxfId="111" priority="124" stopIfTrue="1" operator="between">
      <formula>$N$3</formula>
      <formula>$P$3</formula>
    </cfRule>
    <cfRule type="cellIs" dxfId="110" priority="125" stopIfTrue="1" operator="between">
      <formula>$P$3</formula>
      <formula>$R$3</formula>
    </cfRule>
  </conditionalFormatting>
  <conditionalFormatting sqref="C51">
    <cfRule type="cellIs" dxfId="109" priority="116" stopIfTrue="1" operator="lessThan">
      <formula>$R$3</formula>
    </cfRule>
    <cfRule type="cellIs" dxfId="108" priority="117" stopIfTrue="1" operator="between">
      <formula>$R$3</formula>
      <formula>$P$3</formula>
    </cfRule>
    <cfRule type="cellIs" dxfId="107" priority="118" stopIfTrue="1" operator="greaterThan">
      <formula>$N$3</formula>
    </cfRule>
    <cfRule type="cellIs" dxfId="106" priority="119" stopIfTrue="1" operator="between">
      <formula>$N$3</formula>
      <formula>$P$3</formula>
    </cfRule>
    <cfRule type="cellIs" dxfId="105" priority="120" stopIfTrue="1" operator="between">
      <formula>$P$3</formula>
      <formula>$R$3</formula>
    </cfRule>
  </conditionalFormatting>
  <conditionalFormatting sqref="C50">
    <cfRule type="cellIs" dxfId="104" priority="111" stopIfTrue="1" operator="lessThan">
      <formula>$R$3</formula>
    </cfRule>
    <cfRule type="cellIs" dxfId="103" priority="112" stopIfTrue="1" operator="between">
      <formula>$R$3</formula>
      <formula>$P$3</formula>
    </cfRule>
    <cfRule type="cellIs" dxfId="102" priority="113" stopIfTrue="1" operator="greaterThan">
      <formula>$N$3</formula>
    </cfRule>
    <cfRule type="cellIs" dxfId="101" priority="114" stopIfTrue="1" operator="between">
      <formula>$N$3</formula>
      <formula>$P$3</formula>
    </cfRule>
    <cfRule type="cellIs" dxfId="100" priority="115" stopIfTrue="1" operator="between">
      <formula>$P$3</formula>
      <formula>$R$3</formula>
    </cfRule>
  </conditionalFormatting>
  <conditionalFormatting sqref="C49">
    <cfRule type="cellIs" dxfId="99" priority="106" stopIfTrue="1" operator="lessThan">
      <formula>$R$3</formula>
    </cfRule>
    <cfRule type="cellIs" dxfId="98" priority="107" stopIfTrue="1" operator="between">
      <formula>$R$3</formula>
      <formula>$P$3</formula>
    </cfRule>
    <cfRule type="cellIs" dxfId="97" priority="108" stopIfTrue="1" operator="greaterThan">
      <formula>$N$3</formula>
    </cfRule>
    <cfRule type="cellIs" dxfId="96" priority="109" stopIfTrue="1" operator="between">
      <formula>$N$3</formula>
      <formula>$P$3</formula>
    </cfRule>
    <cfRule type="cellIs" dxfId="95" priority="110" stopIfTrue="1" operator="between">
      <formula>$P$3</formula>
      <formula>$R$3</formula>
    </cfRule>
  </conditionalFormatting>
  <conditionalFormatting sqref="C48">
    <cfRule type="cellIs" dxfId="94" priority="101" stopIfTrue="1" operator="lessThan">
      <formula>$R$3</formula>
    </cfRule>
    <cfRule type="cellIs" dxfId="93" priority="102" stopIfTrue="1" operator="between">
      <formula>$R$3</formula>
      <formula>$P$3</formula>
    </cfRule>
    <cfRule type="cellIs" dxfId="92" priority="103" stopIfTrue="1" operator="greaterThan">
      <formula>$N$3</formula>
    </cfRule>
    <cfRule type="cellIs" dxfId="91" priority="104" stopIfTrue="1" operator="between">
      <formula>$N$3</formula>
      <formula>$P$3</formula>
    </cfRule>
    <cfRule type="cellIs" dxfId="90" priority="105" stopIfTrue="1" operator="between">
      <formula>$P$3</formula>
      <formula>$R$3</formula>
    </cfRule>
  </conditionalFormatting>
  <conditionalFormatting sqref="C47">
    <cfRule type="cellIs" dxfId="89" priority="96" stopIfTrue="1" operator="lessThan">
      <formula>$R$3</formula>
    </cfRule>
    <cfRule type="cellIs" dxfId="88" priority="97" stopIfTrue="1" operator="between">
      <formula>$R$3</formula>
      <formula>$P$3</formula>
    </cfRule>
    <cfRule type="cellIs" dxfId="87" priority="98" stopIfTrue="1" operator="greaterThan">
      <formula>$N$3</formula>
    </cfRule>
    <cfRule type="cellIs" dxfId="86" priority="99" stopIfTrue="1" operator="between">
      <formula>$N$3</formula>
      <formula>$P$3</formula>
    </cfRule>
    <cfRule type="cellIs" dxfId="85" priority="100" stopIfTrue="1" operator="between">
      <formula>$P$3</formula>
      <formula>$R$3</formula>
    </cfRule>
  </conditionalFormatting>
  <conditionalFormatting sqref="C46">
    <cfRule type="cellIs" dxfId="84" priority="91" stopIfTrue="1" operator="lessThan">
      <formula>$R$3</formula>
    </cfRule>
    <cfRule type="cellIs" dxfId="83" priority="92" stopIfTrue="1" operator="between">
      <formula>$R$3</formula>
      <formula>$P$3</formula>
    </cfRule>
    <cfRule type="cellIs" dxfId="82" priority="93" stopIfTrue="1" operator="greaterThan">
      <formula>$N$3</formula>
    </cfRule>
    <cfRule type="cellIs" dxfId="81" priority="94" stopIfTrue="1" operator="between">
      <formula>$N$3</formula>
      <formula>$P$3</formula>
    </cfRule>
    <cfRule type="cellIs" dxfId="80" priority="95" stopIfTrue="1" operator="between">
      <formula>$P$3</formula>
      <formula>$R$3</formula>
    </cfRule>
  </conditionalFormatting>
  <conditionalFormatting sqref="C45">
    <cfRule type="cellIs" dxfId="79" priority="86" stopIfTrue="1" operator="lessThan">
      <formula>$R$3</formula>
    </cfRule>
    <cfRule type="cellIs" dxfId="78" priority="87" stopIfTrue="1" operator="between">
      <formula>$R$3</formula>
      <formula>$P$3</formula>
    </cfRule>
    <cfRule type="cellIs" dxfId="77" priority="88" stopIfTrue="1" operator="greaterThan">
      <formula>$N$3</formula>
    </cfRule>
    <cfRule type="cellIs" dxfId="76" priority="89" stopIfTrue="1" operator="between">
      <formula>$N$3</formula>
      <formula>$P$3</formula>
    </cfRule>
    <cfRule type="cellIs" dxfId="75" priority="90" stopIfTrue="1" operator="between">
      <formula>$P$3</formula>
      <formula>$R$3</formula>
    </cfRule>
  </conditionalFormatting>
  <conditionalFormatting sqref="C52:C57">
    <cfRule type="cellIs" dxfId="74" priority="81" stopIfTrue="1" operator="lessThan">
      <formula>$R$3</formula>
    </cfRule>
    <cfRule type="cellIs" dxfId="73" priority="82" stopIfTrue="1" operator="between">
      <formula>$R$3</formula>
      <formula>$P$3</formula>
    </cfRule>
    <cfRule type="cellIs" dxfId="72" priority="83" stopIfTrue="1" operator="greaterThan">
      <formula>$N$3</formula>
    </cfRule>
    <cfRule type="cellIs" dxfId="71" priority="84" stopIfTrue="1" operator="between">
      <formula>$N$3</formula>
      <formula>$P$3</formula>
    </cfRule>
    <cfRule type="cellIs" dxfId="70" priority="85" stopIfTrue="1" operator="between">
      <formula>$P$3</formula>
      <formula>$R$3</formula>
    </cfRule>
  </conditionalFormatting>
  <conditionalFormatting sqref="D51:AG51">
    <cfRule type="cellIs" dxfId="69" priority="76" stopIfTrue="1" operator="lessThan">
      <formula>$R$3</formula>
    </cfRule>
    <cfRule type="cellIs" dxfId="68" priority="77" stopIfTrue="1" operator="between">
      <formula>$R$3</formula>
      <formula>$P$3</formula>
    </cfRule>
    <cfRule type="cellIs" dxfId="67" priority="78" stopIfTrue="1" operator="greaterThan">
      <formula>$N$3</formula>
    </cfRule>
    <cfRule type="cellIs" dxfId="66" priority="79" stopIfTrue="1" operator="between">
      <formula>$N$3</formula>
      <formula>$P$3</formula>
    </cfRule>
    <cfRule type="cellIs" dxfId="65" priority="80" stopIfTrue="1" operator="between">
      <formula>$P$3</formula>
      <formula>$R$3</formula>
    </cfRule>
  </conditionalFormatting>
  <conditionalFormatting sqref="D50:AG50">
    <cfRule type="cellIs" dxfId="64" priority="71" stopIfTrue="1" operator="lessThan">
      <formula>$R$3</formula>
    </cfRule>
    <cfRule type="cellIs" dxfId="63" priority="72" stopIfTrue="1" operator="between">
      <formula>$R$3</formula>
      <formula>$P$3</formula>
    </cfRule>
    <cfRule type="cellIs" dxfId="62" priority="73" stopIfTrue="1" operator="greaterThan">
      <formula>$N$3</formula>
    </cfRule>
    <cfRule type="cellIs" dxfId="61" priority="74" stopIfTrue="1" operator="between">
      <formula>$N$3</formula>
      <formula>$P$3</formula>
    </cfRule>
    <cfRule type="cellIs" dxfId="60" priority="75" stopIfTrue="1" operator="between">
      <formula>$P$3</formula>
      <formula>$R$3</formula>
    </cfRule>
  </conditionalFormatting>
  <conditionalFormatting sqref="D49:AG49">
    <cfRule type="cellIs" dxfId="59" priority="66" stopIfTrue="1" operator="lessThan">
      <formula>$R$3</formula>
    </cfRule>
    <cfRule type="cellIs" dxfId="58" priority="67" stopIfTrue="1" operator="between">
      <formula>$R$3</formula>
      <formula>$P$3</formula>
    </cfRule>
    <cfRule type="cellIs" dxfId="57" priority="68" stopIfTrue="1" operator="greaterThan">
      <formula>$N$3</formula>
    </cfRule>
    <cfRule type="cellIs" dxfId="56" priority="69" stopIfTrue="1" operator="between">
      <formula>$N$3</formula>
      <formula>$P$3</formula>
    </cfRule>
    <cfRule type="cellIs" dxfId="55" priority="70" stopIfTrue="1" operator="between">
      <formula>$P$3</formula>
      <formula>$R$3</formula>
    </cfRule>
  </conditionalFormatting>
  <conditionalFormatting sqref="D48:AG48">
    <cfRule type="cellIs" dxfId="54" priority="61" stopIfTrue="1" operator="lessThan">
      <formula>$R$3</formula>
    </cfRule>
    <cfRule type="cellIs" dxfId="53" priority="62" stopIfTrue="1" operator="between">
      <formula>$R$3</formula>
      <formula>$P$3</formula>
    </cfRule>
    <cfRule type="cellIs" dxfId="52" priority="63" stopIfTrue="1" operator="greaterThan">
      <formula>$N$3</formula>
    </cfRule>
    <cfRule type="cellIs" dxfId="51" priority="64" stopIfTrue="1" operator="between">
      <formula>$N$3</formula>
      <formula>$P$3</formula>
    </cfRule>
    <cfRule type="cellIs" dxfId="50" priority="65" stopIfTrue="1" operator="between">
      <formula>$P$3</formula>
      <formula>$R$3</formula>
    </cfRule>
  </conditionalFormatting>
  <conditionalFormatting sqref="D47:AG47">
    <cfRule type="cellIs" dxfId="49" priority="56" stopIfTrue="1" operator="lessThan">
      <formula>$R$3</formula>
    </cfRule>
    <cfRule type="cellIs" dxfId="48" priority="57" stopIfTrue="1" operator="between">
      <formula>$R$3</formula>
      <formula>$P$3</formula>
    </cfRule>
    <cfRule type="cellIs" dxfId="47" priority="58" stopIfTrue="1" operator="greaterThan">
      <formula>$N$3</formula>
    </cfRule>
    <cfRule type="cellIs" dxfId="46" priority="59" stopIfTrue="1" operator="between">
      <formula>$N$3</formula>
      <formula>$P$3</formula>
    </cfRule>
    <cfRule type="cellIs" dxfId="45" priority="60" stopIfTrue="1" operator="between">
      <formula>$P$3</formula>
      <formula>$R$3</formula>
    </cfRule>
  </conditionalFormatting>
  <conditionalFormatting sqref="D46:AG46">
    <cfRule type="cellIs" dxfId="44" priority="51" stopIfTrue="1" operator="lessThan">
      <formula>$R$3</formula>
    </cfRule>
    <cfRule type="cellIs" dxfId="43" priority="52" stopIfTrue="1" operator="between">
      <formula>$R$3</formula>
      <formula>$P$3</formula>
    </cfRule>
    <cfRule type="cellIs" dxfId="42" priority="53" stopIfTrue="1" operator="greaterThan">
      <formula>$N$3</formula>
    </cfRule>
    <cfRule type="cellIs" dxfId="41" priority="54" stopIfTrue="1" operator="between">
      <formula>$N$3</formula>
      <formula>$P$3</formula>
    </cfRule>
    <cfRule type="cellIs" dxfId="40" priority="55" stopIfTrue="1" operator="between">
      <formula>$P$3</formula>
      <formula>$R$3</formula>
    </cfRule>
  </conditionalFormatting>
  <conditionalFormatting sqref="D45:AG45">
    <cfRule type="cellIs" dxfId="39" priority="46" stopIfTrue="1" operator="lessThan">
      <formula>$R$3</formula>
    </cfRule>
    <cfRule type="cellIs" dxfId="38" priority="47" stopIfTrue="1" operator="between">
      <formula>$R$3</formula>
      <formula>$P$3</formula>
    </cfRule>
    <cfRule type="cellIs" dxfId="37" priority="48" stopIfTrue="1" operator="greaterThan">
      <formula>$N$3</formula>
    </cfRule>
    <cfRule type="cellIs" dxfId="36" priority="49" stopIfTrue="1" operator="between">
      <formula>$N$3</formula>
      <formula>$P$3</formula>
    </cfRule>
    <cfRule type="cellIs" dxfId="35" priority="50" stopIfTrue="1" operator="between">
      <formula>$P$3</formula>
      <formula>$R$3</formula>
    </cfRule>
  </conditionalFormatting>
  <conditionalFormatting sqref="D52:AG57">
    <cfRule type="cellIs" dxfId="34" priority="41" stopIfTrue="1" operator="lessThan">
      <formula>$R$3</formula>
    </cfRule>
    <cfRule type="cellIs" dxfId="33" priority="42" stopIfTrue="1" operator="between">
      <formula>$R$3</formula>
      <formula>$P$3</formula>
    </cfRule>
    <cfRule type="cellIs" dxfId="32" priority="43" stopIfTrue="1" operator="greaterThan">
      <formula>$N$3</formula>
    </cfRule>
    <cfRule type="cellIs" dxfId="31" priority="44" stopIfTrue="1" operator="between">
      <formula>$N$3</formula>
      <formula>$P$3</formula>
    </cfRule>
    <cfRule type="cellIs" dxfId="30" priority="45" stopIfTrue="1" operator="between">
      <formula>$P$3</formula>
      <formula>$R$3</formula>
    </cfRule>
  </conditionalFormatting>
  <conditionalFormatting sqref="C8">
    <cfRule type="cellIs" dxfId="29" priority="35" stopIfTrue="1" operator="lessThan">
      <formula>$R$3</formula>
    </cfRule>
    <cfRule type="cellIs" dxfId="28" priority="36" stopIfTrue="1" operator="between">
      <formula>$R$3</formula>
      <formula>$P$3</formula>
    </cfRule>
    <cfRule type="cellIs" dxfId="27" priority="37" stopIfTrue="1" operator="greaterThan">
      <formula>$N$3</formula>
    </cfRule>
    <cfRule type="cellIs" dxfId="26" priority="38" stopIfTrue="1" operator="between">
      <formula>$N$3</formula>
      <formula>$P$3</formula>
    </cfRule>
    <cfRule type="cellIs" dxfId="25" priority="39" stopIfTrue="1" operator="between">
      <formula>$P$3</formula>
      <formula>$R$3</formula>
    </cfRule>
  </conditionalFormatting>
  <conditionalFormatting sqref="D8:AG8">
    <cfRule type="cellIs" dxfId="24" priority="28" stopIfTrue="1" operator="lessThan">
      <formula>$R$3</formula>
    </cfRule>
    <cfRule type="cellIs" dxfId="23" priority="29" stopIfTrue="1" operator="between">
      <formula>$R$3</formula>
      <formula>$P$3</formula>
    </cfRule>
    <cfRule type="cellIs" dxfId="22" priority="30" stopIfTrue="1" operator="greaterThan">
      <formula>$N$3</formula>
    </cfRule>
    <cfRule type="cellIs" dxfId="21" priority="31" stopIfTrue="1" operator="between">
      <formula>$N$3</formula>
      <formula>$P$3</formula>
    </cfRule>
    <cfRule type="cellIs" dxfId="20" priority="32" stopIfTrue="1" operator="between">
      <formula>$P$3</formula>
      <formula>$R$3</formula>
    </cfRule>
  </conditionalFormatting>
  <conditionalFormatting sqref="D7">
    <cfRule type="cellIs" dxfId="19" priority="21" stopIfTrue="1" operator="lessThan">
      <formula>$R$3</formula>
    </cfRule>
    <cfRule type="cellIs" dxfId="18" priority="22" stopIfTrue="1" operator="between">
      <formula>$R$3</formula>
      <formula>$P$3</formula>
    </cfRule>
    <cfRule type="cellIs" dxfId="17" priority="23" stopIfTrue="1" operator="greaterThan">
      <formula>$N$3</formula>
    </cfRule>
    <cfRule type="cellIs" dxfId="16" priority="24" stopIfTrue="1" operator="between">
      <formula>$N$3</formula>
      <formula>$P$3</formula>
    </cfRule>
    <cfRule type="cellIs" dxfId="15" priority="25" stopIfTrue="1" operator="between">
      <formula>$P$3</formula>
      <formula>$R$3</formula>
    </cfRule>
  </conditionalFormatting>
  <conditionalFormatting sqref="E7">
    <cfRule type="cellIs" dxfId="14" priority="13" stopIfTrue="1" operator="lessThan">
      <formula>$R$3</formula>
    </cfRule>
    <cfRule type="cellIs" dxfId="13" priority="14" stopIfTrue="1" operator="between">
      <formula>$R$3</formula>
      <formula>$P$3</formula>
    </cfRule>
    <cfRule type="cellIs" dxfId="12" priority="15" stopIfTrue="1" operator="greaterThan">
      <formula>$N$3</formula>
    </cfRule>
    <cfRule type="cellIs" dxfId="11" priority="16" stopIfTrue="1" operator="between">
      <formula>$N$3</formula>
      <formula>$P$3</formula>
    </cfRule>
    <cfRule type="cellIs" dxfId="10" priority="17" stopIfTrue="1" operator="between">
      <formula>$P$3</formula>
      <formula>$R$3</formula>
    </cfRule>
  </conditionalFormatting>
  <conditionalFormatting sqref="D7">
    <cfRule type="cellIs" dxfId="9" priority="7" stopIfTrue="1" operator="lessThan">
      <formula>$R$3</formula>
    </cfRule>
    <cfRule type="cellIs" dxfId="8" priority="8" stopIfTrue="1" operator="between">
      <formula>$R$3</formula>
      <formula>$P$3</formula>
    </cfRule>
    <cfRule type="cellIs" dxfId="7" priority="9" stopIfTrue="1" operator="greaterThan">
      <formula>$N$3</formula>
    </cfRule>
    <cfRule type="cellIs" dxfId="6" priority="10" stopIfTrue="1" operator="between">
      <formula>$N$3</formula>
      <formula>$P$3</formula>
    </cfRule>
    <cfRule type="cellIs" dxfId="5" priority="11" stopIfTrue="1" operator="between">
      <formula>$P$3</formula>
      <formula>$R$3</formula>
    </cfRule>
  </conditionalFormatting>
  <conditionalFormatting sqref="F7:AG7">
    <cfRule type="cellIs" dxfId="4" priority="1" stopIfTrue="1" operator="lessThan">
      <formula>$R$3</formula>
    </cfRule>
    <cfRule type="cellIs" dxfId="3" priority="2" stopIfTrue="1" operator="between">
      <formula>$R$3</formula>
      <formula>$P$3</formula>
    </cfRule>
    <cfRule type="cellIs" dxfId="2" priority="3" stopIfTrue="1" operator="greaterThan">
      <formula>$N$3</formula>
    </cfRule>
    <cfRule type="cellIs" dxfId="1" priority="4" stopIfTrue="1" operator="between">
      <formula>$N$3</formula>
      <formula>$P$3</formula>
    </cfRule>
    <cfRule type="cellIs" dxfId="0" priority="5" stopIfTrue="1" operator="between">
      <formula>$P$3</formula>
      <formula>$R$3</formula>
    </cfRule>
  </conditionalFormatting>
  <conditionalFormatting sqref="C7">
    <cfRule type="colorScale" priority="253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C8">
    <cfRule type="colorScale" priority="40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D7:AG7">
    <cfRule type="colorScale" priority="34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D8:AG8">
    <cfRule type="colorScale" priority="33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D7">
    <cfRule type="colorScale" priority="27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D7">
    <cfRule type="colorScale" priority="26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D7">
    <cfRule type="colorScale" priority="20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E7">
    <cfRule type="colorScale" priority="19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E7">
    <cfRule type="colorScale" priority="18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D7">
    <cfRule type="colorScale" priority="12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conditionalFormatting sqref="F7:AG7">
    <cfRule type="colorScale" priority="6">
      <colorScale>
        <cfvo type="num" val="$R$3"/>
        <cfvo type="num" val="$P$3"/>
        <cfvo type="num" val="$N$3"/>
        <color rgb="FFF8696B"/>
        <color rgb="FFFFEB84"/>
        <color rgb="FF63BE7B"/>
      </colorScale>
    </cfRule>
  </conditionalFormatting>
  <pageMargins left="0.75" right="0.75" top="1" bottom="1" header="0.5" footer="0.5"/>
  <pageSetup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theme="3" tint="0.59999389629810485"/>
  </sheetPr>
  <dimension ref="A1:AG128"/>
  <sheetViews>
    <sheetView workbookViewId="0">
      <selection activeCell="G37" sqref="G37"/>
    </sheetView>
  </sheetViews>
  <sheetFormatPr defaultRowHeight="12.75" x14ac:dyDescent="0.2"/>
  <cols>
    <col min="1" max="1" width="7.42578125" style="2" customWidth="1"/>
    <col min="2" max="2" width="9.140625" style="70"/>
    <col min="3" max="4" width="9.140625" style="1"/>
    <col min="5" max="5" width="11.140625" style="1" customWidth="1"/>
    <col min="6" max="6" width="11" style="91" customWidth="1"/>
    <col min="7" max="7" width="9.140625" style="1"/>
    <col min="8" max="8" width="10.140625" style="110" customWidth="1"/>
    <col min="9" max="9" width="9.140625" style="110"/>
    <col min="10" max="10" width="17.85546875" style="2" customWidth="1"/>
    <col min="11" max="12" width="9.7109375" style="2" customWidth="1"/>
    <col min="13" max="13" width="10" style="2" customWidth="1"/>
    <col min="14" max="15" width="9.140625" style="2"/>
    <col min="16" max="16" width="12.42578125" style="2" bestFit="1" customWidth="1"/>
    <col min="17" max="18" width="9.140625" style="2"/>
    <col min="19" max="19" width="9.5703125" style="2" bestFit="1" customWidth="1"/>
    <col min="20" max="32" width="9.140625" style="2"/>
  </cols>
  <sheetData>
    <row r="1" spans="1:18" ht="15.75" x14ac:dyDescent="0.25">
      <c r="A1" s="49" t="s">
        <v>65</v>
      </c>
      <c r="B1" s="98"/>
      <c r="C1" s="2"/>
      <c r="D1" s="2"/>
      <c r="E1" s="2"/>
      <c r="F1" s="35"/>
      <c r="G1" s="2"/>
      <c r="H1" s="2"/>
      <c r="I1" s="2"/>
      <c r="Q1" s="1"/>
      <c r="R1" s="2">
        <v>1</v>
      </c>
    </row>
    <row r="2" spans="1:18" x14ac:dyDescent="0.2">
      <c r="H2" s="24"/>
      <c r="I2" s="24"/>
      <c r="J2" s="9"/>
    </row>
    <row r="3" spans="1:18" ht="38.25" x14ac:dyDescent="0.2">
      <c r="B3" s="1" t="s">
        <v>152</v>
      </c>
      <c r="C3" s="1" t="s">
        <v>150</v>
      </c>
      <c r="D3" s="1" t="s">
        <v>151</v>
      </c>
      <c r="E3" s="1" t="s">
        <v>153</v>
      </c>
      <c r="F3" s="1"/>
      <c r="H3" s="136" t="s">
        <v>164</v>
      </c>
      <c r="I3" s="74"/>
      <c r="J3" s="32"/>
      <c r="K3" s="32"/>
      <c r="L3" s="89" t="s">
        <v>165</v>
      </c>
      <c r="M3" s="89" t="s">
        <v>166</v>
      </c>
      <c r="N3" s="74" t="s">
        <v>169</v>
      </c>
    </row>
    <row r="4" spans="1:18" x14ac:dyDescent="0.2">
      <c r="A4" s="11"/>
      <c r="B4" s="263">
        <v>30</v>
      </c>
      <c r="C4" s="79">
        <v>25</v>
      </c>
      <c r="D4" s="79">
        <v>0</v>
      </c>
      <c r="E4" s="265" t="e">
        <f ca="1">Cnapl($L$4,$L$5,$L$6,$L$7,$L$8,$L$9,$L$10,$L$11, $L$12, $L$13, $L$14, $L$15, $L$16, $L$17, $L$18, $L$19, $L$20, $L$21, $L$22, $L$23, C4,D4,B4,0)</f>
        <v>#NAME?</v>
      </c>
      <c r="F4" s="54"/>
      <c r="G4" s="70"/>
      <c r="H4" s="105" t="s">
        <v>11</v>
      </c>
      <c r="I4" s="123"/>
      <c r="J4" s="9"/>
      <c r="K4" s="262" t="s">
        <v>2</v>
      </c>
      <c r="L4" s="86">
        <v>0.1</v>
      </c>
      <c r="M4" s="25">
        <f>Input!L69</f>
        <v>2.7E-2</v>
      </c>
      <c r="N4" s="1" t="s">
        <v>58</v>
      </c>
    </row>
    <row r="5" spans="1:18" x14ac:dyDescent="0.2">
      <c r="A5" s="11"/>
      <c r="B5" s="263">
        <f>B4</f>
        <v>30</v>
      </c>
      <c r="C5" s="79">
        <f>25+C4</f>
        <v>50</v>
      </c>
      <c r="D5" s="79">
        <v>0</v>
      </c>
      <c r="E5" s="265" t="e">
        <f t="shared" ref="E5:E43" ca="1" si="0">Cnapl($L$4,$L$5,$L$6,$L$7,$L$8,$L$9,$L$10,$L$11, $L$12, $L$13, $L$14, $L$15, $L$16, $L$17, $L$18, $L$19, $L$20, $L$21, $L$22, $L$23, C5,D5,B5,0)</f>
        <v>#NAME?</v>
      </c>
      <c r="F5" s="57"/>
      <c r="G5" s="70"/>
      <c r="H5" s="105" t="s">
        <v>12</v>
      </c>
      <c r="I5" s="123"/>
      <c r="J5" s="9"/>
      <c r="K5" s="234" t="s">
        <v>3</v>
      </c>
      <c r="L5" s="86">
        <f>1000</f>
        <v>1000</v>
      </c>
      <c r="M5" s="25">
        <f>Input!L70</f>
        <v>100</v>
      </c>
      <c r="N5" s="1" t="s">
        <v>59</v>
      </c>
    </row>
    <row r="6" spans="1:18" x14ac:dyDescent="0.2">
      <c r="A6" s="11"/>
      <c r="B6" s="263">
        <f t="shared" ref="B6:B43" si="1">B5</f>
        <v>30</v>
      </c>
      <c r="C6" s="79">
        <f t="shared" ref="C6:C43" si="2">25+C5</f>
        <v>75</v>
      </c>
      <c r="D6" s="79">
        <v>0</v>
      </c>
      <c r="E6" s="265" t="e">
        <f t="shared" ca="1" si="0"/>
        <v>#NAME?</v>
      </c>
      <c r="F6" s="57"/>
      <c r="G6" s="70"/>
      <c r="H6" s="105" t="s">
        <v>13</v>
      </c>
      <c r="I6" s="123"/>
      <c r="J6" s="9"/>
      <c r="K6" s="234" t="s">
        <v>0</v>
      </c>
      <c r="L6" s="138">
        <v>0.6</v>
      </c>
      <c r="M6" s="135">
        <f>Input!L71</f>
        <v>0.8</v>
      </c>
      <c r="N6" s="1" t="s">
        <v>119</v>
      </c>
    </row>
    <row r="7" spans="1:18" x14ac:dyDescent="0.2">
      <c r="A7" s="11"/>
      <c r="B7" s="263">
        <f t="shared" si="1"/>
        <v>30</v>
      </c>
      <c r="C7" s="79">
        <f t="shared" si="2"/>
        <v>100</v>
      </c>
      <c r="D7" s="79">
        <v>0</v>
      </c>
      <c r="E7" s="265" t="e">
        <f t="shared" ca="1" si="0"/>
        <v>#NAME?</v>
      </c>
      <c r="F7" s="57"/>
      <c r="G7" s="70"/>
      <c r="H7" s="105" t="s">
        <v>106</v>
      </c>
      <c r="I7" s="123"/>
      <c r="J7" s="9"/>
      <c r="K7" s="234" t="s">
        <v>1</v>
      </c>
      <c r="L7" s="86">
        <v>1000</v>
      </c>
      <c r="M7" s="25">
        <f>Input!L72</f>
        <v>10</v>
      </c>
      <c r="N7" s="1" t="s">
        <v>16</v>
      </c>
    </row>
    <row r="8" spans="1:18" x14ac:dyDescent="0.2">
      <c r="A8" s="11"/>
      <c r="B8" s="263">
        <f t="shared" si="1"/>
        <v>30</v>
      </c>
      <c r="C8" s="79">
        <f t="shared" si="2"/>
        <v>125</v>
      </c>
      <c r="D8" s="79">
        <v>0</v>
      </c>
      <c r="E8" s="265" t="e">
        <f t="shared" ca="1" si="0"/>
        <v>#NAME?</v>
      </c>
      <c r="F8" s="57"/>
      <c r="G8" s="70"/>
      <c r="H8" s="105" t="s">
        <v>10</v>
      </c>
      <c r="I8" s="123"/>
      <c r="J8" s="9"/>
      <c r="K8" s="234" t="s">
        <v>28</v>
      </c>
      <c r="L8" s="86">
        <v>1</v>
      </c>
      <c r="M8" s="25">
        <f>Input!L73</f>
        <v>10</v>
      </c>
      <c r="N8" s="1" t="s">
        <v>16</v>
      </c>
    </row>
    <row r="9" spans="1:18" x14ac:dyDescent="0.2">
      <c r="A9" s="11"/>
      <c r="B9" s="263">
        <f t="shared" si="1"/>
        <v>30</v>
      </c>
      <c r="C9" s="79">
        <f t="shared" si="2"/>
        <v>150</v>
      </c>
      <c r="D9" s="79">
        <v>0</v>
      </c>
      <c r="E9" s="265" t="e">
        <f t="shared" ca="1" si="0"/>
        <v>#NAME?</v>
      </c>
      <c r="F9" s="57"/>
      <c r="G9" s="70"/>
      <c r="H9" s="105" t="s">
        <v>107</v>
      </c>
      <c r="I9" s="123"/>
      <c r="J9" s="9"/>
      <c r="K9" s="234" t="s">
        <v>4</v>
      </c>
      <c r="L9" s="138">
        <v>0</v>
      </c>
      <c r="M9" s="135">
        <f>Input!L74</f>
        <v>1951</v>
      </c>
      <c r="N9" s="1" t="s">
        <v>163</v>
      </c>
    </row>
    <row r="10" spans="1:18" x14ac:dyDescent="0.2">
      <c r="A10" s="11"/>
      <c r="B10" s="263">
        <f t="shared" si="1"/>
        <v>30</v>
      </c>
      <c r="C10" s="79">
        <f t="shared" si="2"/>
        <v>175</v>
      </c>
      <c r="D10" s="79">
        <v>0</v>
      </c>
      <c r="E10" s="265" t="e">
        <f t="shared" ca="1" si="0"/>
        <v>#NAME?</v>
      </c>
      <c r="F10" s="57"/>
      <c r="G10" s="70"/>
      <c r="H10" s="105" t="s">
        <v>154</v>
      </c>
      <c r="I10" s="123"/>
      <c r="J10" s="9"/>
      <c r="K10" s="234" t="s">
        <v>29</v>
      </c>
      <c r="L10" s="138">
        <v>0</v>
      </c>
      <c r="M10" s="135">
        <f>Input!L75</f>
        <v>1999</v>
      </c>
      <c r="N10" s="1" t="s">
        <v>163</v>
      </c>
    </row>
    <row r="11" spans="1:18" x14ac:dyDescent="0.2">
      <c r="A11" s="11"/>
      <c r="B11" s="263">
        <f t="shared" si="1"/>
        <v>30</v>
      </c>
      <c r="C11" s="79">
        <f t="shared" si="2"/>
        <v>200</v>
      </c>
      <c r="D11" s="79">
        <v>0</v>
      </c>
      <c r="E11" s="265" t="e">
        <f t="shared" ca="1" si="0"/>
        <v>#NAME?</v>
      </c>
      <c r="F11" s="57"/>
      <c r="G11" s="70"/>
      <c r="H11" s="105" t="s">
        <v>108</v>
      </c>
      <c r="I11" s="123"/>
      <c r="J11" s="9"/>
      <c r="K11" s="234" t="s">
        <v>30</v>
      </c>
      <c r="L11" s="86">
        <v>0.05</v>
      </c>
      <c r="M11" s="25">
        <f>Input!L76</f>
        <v>6.2500000000000014E-2</v>
      </c>
      <c r="N11" s="1" t="s">
        <v>15</v>
      </c>
    </row>
    <row r="12" spans="1:18" x14ac:dyDescent="0.2">
      <c r="A12" s="11"/>
      <c r="B12" s="263">
        <f t="shared" si="1"/>
        <v>30</v>
      </c>
      <c r="C12" s="79">
        <f t="shared" si="2"/>
        <v>225</v>
      </c>
      <c r="D12" s="79">
        <v>0</v>
      </c>
      <c r="E12" s="265" t="e">
        <f t="shared" ca="1" si="0"/>
        <v>#NAME?</v>
      </c>
      <c r="F12" s="57"/>
      <c r="G12" s="70"/>
      <c r="H12" s="105" t="s">
        <v>155</v>
      </c>
      <c r="I12" s="123"/>
      <c r="J12" s="9"/>
      <c r="K12" s="234" t="s">
        <v>31</v>
      </c>
      <c r="L12" s="139">
        <f>M12</f>
        <v>0.3</v>
      </c>
      <c r="M12" s="97">
        <f>Input!L77</f>
        <v>0.3</v>
      </c>
      <c r="N12" s="1" t="s">
        <v>119</v>
      </c>
    </row>
    <row r="13" spans="1:18" x14ac:dyDescent="0.2">
      <c r="A13" s="11"/>
      <c r="B13" s="263">
        <f t="shared" si="1"/>
        <v>30</v>
      </c>
      <c r="C13" s="79">
        <f t="shared" si="2"/>
        <v>250</v>
      </c>
      <c r="D13" s="79">
        <v>0</v>
      </c>
      <c r="E13" s="265" t="e">
        <f t="shared" ca="1" si="0"/>
        <v>#NAME?</v>
      </c>
      <c r="F13" s="57"/>
      <c r="G13" s="109"/>
      <c r="H13" s="105" t="s">
        <v>6</v>
      </c>
      <c r="I13" s="123"/>
      <c r="J13" s="9"/>
      <c r="K13" s="234" t="s">
        <v>32</v>
      </c>
      <c r="L13" s="86">
        <v>1</v>
      </c>
      <c r="M13" s="25">
        <f>Input!L78</f>
        <v>1.25</v>
      </c>
      <c r="N13" s="1" t="s">
        <v>119</v>
      </c>
    </row>
    <row r="14" spans="1:18" x14ac:dyDescent="0.2">
      <c r="A14" s="11"/>
      <c r="B14" s="263">
        <f t="shared" si="1"/>
        <v>30</v>
      </c>
      <c r="C14" s="79">
        <f t="shared" si="2"/>
        <v>275</v>
      </c>
      <c r="D14" s="264">
        <v>0</v>
      </c>
      <c r="E14" s="265" t="e">
        <f t="shared" ca="1" si="0"/>
        <v>#NAME?</v>
      </c>
      <c r="F14" s="57"/>
      <c r="G14" s="109"/>
      <c r="H14" s="105" t="s">
        <v>7</v>
      </c>
      <c r="I14" s="123"/>
      <c r="J14" s="9"/>
      <c r="K14" s="234" t="s">
        <v>34</v>
      </c>
      <c r="L14" s="86">
        <v>0.1</v>
      </c>
      <c r="M14" s="25">
        <f>Input!L79</f>
        <v>100</v>
      </c>
      <c r="N14" s="1" t="s">
        <v>16</v>
      </c>
    </row>
    <row r="15" spans="1:18" x14ac:dyDescent="0.2">
      <c r="A15" s="11"/>
      <c r="B15" s="263">
        <f t="shared" si="1"/>
        <v>30</v>
      </c>
      <c r="C15" s="79">
        <f t="shared" si="2"/>
        <v>300</v>
      </c>
      <c r="D15" s="79">
        <v>0</v>
      </c>
      <c r="E15" s="265" t="e">
        <f t="shared" ca="1" si="0"/>
        <v>#NAME?</v>
      </c>
      <c r="F15" s="57"/>
      <c r="G15" s="109"/>
      <c r="H15" s="105" t="s">
        <v>8</v>
      </c>
      <c r="I15" s="123"/>
      <c r="J15" s="31"/>
      <c r="K15" s="234" t="s">
        <v>35</v>
      </c>
      <c r="L15" s="86">
        <v>1</v>
      </c>
      <c r="M15" s="25">
        <f>Input!L80</f>
        <v>5</v>
      </c>
      <c r="N15" s="1" t="s">
        <v>16</v>
      </c>
    </row>
    <row r="16" spans="1:18" x14ac:dyDescent="0.2">
      <c r="A16" s="11"/>
      <c r="B16" s="263">
        <f t="shared" si="1"/>
        <v>30</v>
      </c>
      <c r="C16" s="79">
        <f t="shared" si="2"/>
        <v>325</v>
      </c>
      <c r="D16" s="79">
        <v>0</v>
      </c>
      <c r="E16" s="265" t="e">
        <f t="shared" ca="1" si="0"/>
        <v>#NAME?</v>
      </c>
      <c r="F16" s="57"/>
      <c r="G16" s="109"/>
      <c r="H16" s="105" t="s">
        <v>156</v>
      </c>
      <c r="I16" s="123"/>
      <c r="J16" s="31"/>
      <c r="K16" s="234" t="s">
        <v>327</v>
      </c>
      <c r="L16" s="86">
        <v>0</v>
      </c>
      <c r="M16" s="25">
        <f>Input!L81</f>
        <v>1.9E-2</v>
      </c>
      <c r="N16" s="1" t="s">
        <v>119</v>
      </c>
    </row>
    <row r="17" spans="1:22" x14ac:dyDescent="0.2">
      <c r="A17" s="11"/>
      <c r="B17" s="263">
        <f t="shared" si="1"/>
        <v>30</v>
      </c>
      <c r="C17" s="79">
        <f t="shared" si="2"/>
        <v>350</v>
      </c>
      <c r="D17" s="79">
        <v>0</v>
      </c>
      <c r="E17" s="265" t="e">
        <f t="shared" ca="1" si="0"/>
        <v>#NAME?</v>
      </c>
      <c r="F17" s="57"/>
      <c r="G17" s="109"/>
      <c r="H17" s="105" t="s">
        <v>330</v>
      </c>
      <c r="I17" s="123"/>
      <c r="J17" s="31"/>
      <c r="K17" s="234" t="s">
        <v>173</v>
      </c>
      <c r="L17" s="162">
        <v>5.9999999999999995E-4</v>
      </c>
      <c r="M17" s="108">
        <f>Input!L82</f>
        <v>4.2630856962705735E-4</v>
      </c>
      <c r="N17" s="1" t="s">
        <v>17</v>
      </c>
    </row>
    <row r="18" spans="1:22" x14ac:dyDescent="0.2">
      <c r="A18" s="11"/>
      <c r="B18" s="263">
        <f t="shared" si="1"/>
        <v>30</v>
      </c>
      <c r="C18" s="79">
        <f t="shared" si="2"/>
        <v>375</v>
      </c>
      <c r="D18" s="79">
        <v>0</v>
      </c>
      <c r="E18" s="265" t="e">
        <f t="shared" ca="1" si="0"/>
        <v>#NAME?</v>
      </c>
      <c r="F18" s="57"/>
      <c r="G18" s="109"/>
      <c r="H18" s="105" t="s">
        <v>111</v>
      </c>
      <c r="I18" s="123"/>
      <c r="J18" s="31"/>
      <c r="K18" s="234" t="s">
        <v>110</v>
      </c>
      <c r="L18" s="86">
        <v>200</v>
      </c>
      <c r="M18" s="25">
        <f>Input!L83</f>
        <v>1000</v>
      </c>
      <c r="N18" s="1" t="s">
        <v>16</v>
      </c>
    </row>
    <row r="19" spans="1:22" x14ac:dyDescent="0.2">
      <c r="A19" s="11"/>
      <c r="B19" s="263">
        <f t="shared" si="1"/>
        <v>30</v>
      </c>
      <c r="C19" s="79">
        <f t="shared" si="2"/>
        <v>400</v>
      </c>
      <c r="D19" s="79">
        <v>0</v>
      </c>
      <c r="E19" s="265" t="e">
        <f t="shared" ca="1" si="0"/>
        <v>#NAME?</v>
      </c>
      <c r="F19" s="57"/>
      <c r="G19" s="109"/>
      <c r="H19" s="105" t="s">
        <v>329</v>
      </c>
      <c r="I19" s="123"/>
      <c r="J19" s="31"/>
      <c r="K19" s="234" t="s">
        <v>174</v>
      </c>
      <c r="L19" s="162">
        <v>2.9999999999999997E-4</v>
      </c>
      <c r="M19" s="108">
        <f>Input!L84</f>
        <v>3.4059237133822224E-4</v>
      </c>
      <c r="N19" s="1" t="s">
        <v>17</v>
      </c>
    </row>
    <row r="20" spans="1:22" x14ac:dyDescent="0.2">
      <c r="A20" s="11"/>
      <c r="B20" s="263">
        <f t="shared" si="1"/>
        <v>30</v>
      </c>
      <c r="C20" s="79">
        <f t="shared" si="2"/>
        <v>425</v>
      </c>
      <c r="D20" s="79">
        <v>0</v>
      </c>
      <c r="E20" s="265" t="e">
        <f t="shared" ca="1" si="0"/>
        <v>#NAME?</v>
      </c>
      <c r="F20" s="57"/>
      <c r="G20" s="109"/>
      <c r="H20" s="105" t="s">
        <v>109</v>
      </c>
      <c r="I20" s="123"/>
      <c r="J20" s="31"/>
      <c r="K20" s="234" t="s">
        <v>92</v>
      </c>
      <c r="L20" s="87">
        <v>25</v>
      </c>
      <c r="M20" s="135">
        <f>Input!L85</f>
        <v>2005</v>
      </c>
      <c r="N20" s="1" t="s">
        <v>163</v>
      </c>
    </row>
    <row r="21" spans="1:22" x14ac:dyDescent="0.2">
      <c r="A21" s="11"/>
      <c r="B21" s="263">
        <f t="shared" si="1"/>
        <v>30</v>
      </c>
      <c r="C21" s="79">
        <f t="shared" si="2"/>
        <v>450</v>
      </c>
      <c r="D21" s="79">
        <v>0</v>
      </c>
      <c r="E21" s="265" t="e">
        <f t="shared" ca="1" si="0"/>
        <v>#NAME?</v>
      </c>
      <c r="F21" s="57"/>
      <c r="G21" s="109"/>
      <c r="H21" s="105" t="s">
        <v>222</v>
      </c>
      <c r="I21" s="123"/>
      <c r="J21" s="124"/>
      <c r="K21" s="234" t="s">
        <v>219</v>
      </c>
      <c r="L21" s="86">
        <v>257</v>
      </c>
      <c r="M21" s="135">
        <f>Input!L86</f>
        <v>50</v>
      </c>
      <c r="N21" s="1" t="s">
        <v>218</v>
      </c>
    </row>
    <row r="22" spans="1:22" x14ac:dyDescent="0.2">
      <c r="A22" s="11"/>
      <c r="B22" s="263">
        <f t="shared" si="1"/>
        <v>30</v>
      </c>
      <c r="C22" s="79">
        <f t="shared" si="2"/>
        <v>475</v>
      </c>
      <c r="D22" s="79">
        <v>0</v>
      </c>
      <c r="E22" s="265" t="e">
        <f t="shared" ca="1" si="0"/>
        <v>#NAME?</v>
      </c>
      <c r="F22" s="57"/>
      <c r="G22" s="109"/>
      <c r="H22" s="105" t="s">
        <v>161</v>
      </c>
      <c r="I22" s="123"/>
      <c r="J22" s="124"/>
      <c r="K22" s="234" t="s">
        <v>281</v>
      </c>
      <c r="L22" s="138">
        <v>1</v>
      </c>
      <c r="M22" s="135">
        <f>Input!L87</f>
        <v>1</v>
      </c>
      <c r="N22" s="1" t="s">
        <v>119</v>
      </c>
    </row>
    <row r="23" spans="1:22" x14ac:dyDescent="0.2">
      <c r="A23" s="11"/>
      <c r="B23" s="263">
        <f t="shared" si="1"/>
        <v>30</v>
      </c>
      <c r="C23" s="79">
        <f t="shared" si="2"/>
        <v>500</v>
      </c>
      <c r="D23" s="264">
        <v>0</v>
      </c>
      <c r="E23" s="265" t="e">
        <f t="shared" ca="1" si="0"/>
        <v>#NAME?</v>
      </c>
      <c r="F23" s="57"/>
      <c r="G23" s="109"/>
      <c r="H23" s="105" t="s">
        <v>328</v>
      </c>
      <c r="I23" s="123"/>
      <c r="J23" s="124"/>
      <c r="K23" s="234" t="s">
        <v>326</v>
      </c>
      <c r="L23" s="138">
        <v>0</v>
      </c>
      <c r="M23" s="135">
        <f>Input!L88</f>
        <v>0</v>
      </c>
      <c r="N23" s="1" t="s">
        <v>119</v>
      </c>
    </row>
    <row r="24" spans="1:22" x14ac:dyDescent="0.2">
      <c r="B24" s="263">
        <f t="shared" si="1"/>
        <v>30</v>
      </c>
      <c r="C24" s="79">
        <f t="shared" si="2"/>
        <v>525</v>
      </c>
      <c r="D24" s="79">
        <v>0</v>
      </c>
      <c r="E24" s="265" t="e">
        <f t="shared" ca="1" si="0"/>
        <v>#NAME?</v>
      </c>
      <c r="F24" s="57"/>
      <c r="G24" s="109"/>
      <c r="H24" s="105"/>
      <c r="I24" s="123"/>
      <c r="J24" s="124"/>
      <c r="K24" s="234"/>
      <c r="L24" s="234"/>
      <c r="M24" s="135"/>
      <c r="N24" s="1"/>
    </row>
    <row r="25" spans="1:22" x14ac:dyDescent="0.2">
      <c r="B25" s="263">
        <f t="shared" si="1"/>
        <v>30</v>
      </c>
      <c r="C25" s="79">
        <f t="shared" si="2"/>
        <v>550</v>
      </c>
      <c r="D25" s="79">
        <v>0</v>
      </c>
      <c r="E25" s="265" t="e">
        <f t="shared" ca="1" si="0"/>
        <v>#NAME?</v>
      </c>
      <c r="F25" s="57"/>
      <c r="G25" s="109"/>
      <c r="H25" s="105"/>
      <c r="I25" s="123"/>
      <c r="J25" s="124"/>
      <c r="K25" s="234"/>
      <c r="L25" s="234"/>
      <c r="M25" s="135"/>
      <c r="N25" s="1"/>
    </row>
    <row r="26" spans="1:22" x14ac:dyDescent="0.2">
      <c r="B26" s="263">
        <f t="shared" si="1"/>
        <v>30</v>
      </c>
      <c r="C26" s="79">
        <f t="shared" si="2"/>
        <v>575</v>
      </c>
      <c r="D26" s="79">
        <v>0</v>
      </c>
      <c r="E26" s="265" t="e">
        <f t="shared" ca="1" si="0"/>
        <v>#NAME?</v>
      </c>
      <c r="F26" s="57"/>
      <c r="G26" s="109"/>
      <c r="H26" s="123"/>
      <c r="I26" s="123"/>
      <c r="J26" s="9"/>
    </row>
    <row r="27" spans="1:22" x14ac:dyDescent="0.2">
      <c r="B27" s="263">
        <f t="shared" si="1"/>
        <v>30</v>
      </c>
      <c r="C27" s="79">
        <f t="shared" si="2"/>
        <v>600</v>
      </c>
      <c r="D27" s="79">
        <v>0</v>
      </c>
      <c r="E27" s="265" t="e">
        <f t="shared" ca="1" si="0"/>
        <v>#NAME?</v>
      </c>
      <c r="F27" s="57"/>
      <c r="G27" s="109"/>
      <c r="H27" s="137" t="s">
        <v>167</v>
      </c>
      <c r="I27" s="123"/>
      <c r="J27" s="9"/>
    </row>
    <row r="28" spans="1:22" x14ac:dyDescent="0.2">
      <c r="B28" s="263">
        <f t="shared" si="1"/>
        <v>30</v>
      </c>
      <c r="C28" s="79">
        <f t="shared" si="2"/>
        <v>625</v>
      </c>
      <c r="D28" s="79">
        <v>0</v>
      </c>
      <c r="E28" s="265" t="e">
        <f t="shared" ca="1" si="0"/>
        <v>#NAME?</v>
      </c>
      <c r="F28" s="57"/>
      <c r="G28" s="109"/>
      <c r="H28" s="123"/>
      <c r="I28" s="123"/>
      <c r="J28" s="9"/>
      <c r="K28" s="71"/>
      <c r="L28" s="71"/>
      <c r="P28" s="1"/>
      <c r="Q28" s="1"/>
      <c r="R28" s="1"/>
      <c r="S28" s="1"/>
    </row>
    <row r="29" spans="1:22" x14ac:dyDescent="0.2">
      <c r="B29" s="263">
        <f t="shared" si="1"/>
        <v>30</v>
      </c>
      <c r="C29" s="79">
        <f t="shared" si="2"/>
        <v>650</v>
      </c>
      <c r="D29" s="79">
        <v>0</v>
      </c>
      <c r="E29" s="265" t="e">
        <f t="shared" ca="1" si="0"/>
        <v>#NAME?</v>
      </c>
      <c r="F29" s="57"/>
      <c r="G29" s="109"/>
      <c r="H29" s="123"/>
      <c r="I29" s="123"/>
      <c r="J29" s="9"/>
      <c r="K29" s="71"/>
      <c r="L29" s="71"/>
      <c r="P29" s="1"/>
      <c r="Q29" s="1"/>
      <c r="R29" s="1"/>
      <c r="S29" s="70"/>
      <c r="T29" s="81"/>
      <c r="V29" s="1"/>
    </row>
    <row r="30" spans="1:22" x14ac:dyDescent="0.2">
      <c r="B30" s="263">
        <f t="shared" si="1"/>
        <v>30</v>
      </c>
      <c r="C30" s="79">
        <f t="shared" si="2"/>
        <v>675</v>
      </c>
      <c r="D30" s="79">
        <v>0</v>
      </c>
      <c r="E30" s="265" t="e">
        <f t="shared" ca="1" si="0"/>
        <v>#NAME?</v>
      </c>
      <c r="F30" s="57"/>
      <c r="G30" s="109"/>
      <c r="H30" s="123"/>
      <c r="I30" s="123"/>
      <c r="J30" s="9"/>
      <c r="L30" s="70"/>
      <c r="N30" s="1"/>
      <c r="P30" s="1"/>
      <c r="Q30" s="1"/>
      <c r="R30" s="230"/>
      <c r="S30" s="231"/>
      <c r="T30" s="232"/>
      <c r="V30" s="1"/>
    </row>
    <row r="31" spans="1:22" x14ac:dyDescent="0.2">
      <c r="B31" s="263">
        <f t="shared" si="1"/>
        <v>30</v>
      </c>
      <c r="C31" s="79">
        <f t="shared" si="2"/>
        <v>700</v>
      </c>
      <c r="D31" s="79">
        <v>0</v>
      </c>
      <c r="E31" s="265" t="e">
        <f t="shared" ca="1" si="0"/>
        <v>#NAME?</v>
      </c>
      <c r="F31" s="57"/>
      <c r="G31" s="109"/>
      <c r="H31" s="123"/>
      <c r="I31" s="123"/>
      <c r="J31" s="9"/>
      <c r="P31" s="1"/>
      <c r="Q31" s="1"/>
      <c r="R31" s="1"/>
      <c r="S31" s="70"/>
      <c r="T31" s="81"/>
      <c r="V31" s="1"/>
    </row>
    <row r="32" spans="1:22" x14ac:dyDescent="0.2">
      <c r="B32" s="263">
        <f t="shared" si="1"/>
        <v>30</v>
      </c>
      <c r="C32" s="79">
        <f t="shared" si="2"/>
        <v>725</v>
      </c>
      <c r="D32" s="79">
        <v>0</v>
      </c>
      <c r="E32" s="265" t="e">
        <f t="shared" ca="1" si="0"/>
        <v>#NAME?</v>
      </c>
      <c r="F32" s="57"/>
      <c r="G32" s="109"/>
      <c r="H32" s="123"/>
      <c r="I32" s="123"/>
      <c r="J32" s="9"/>
      <c r="Q32" s="1"/>
      <c r="R32" s="1"/>
      <c r="S32" s="70"/>
      <c r="T32" s="81"/>
    </row>
    <row r="33" spans="2:33" x14ac:dyDescent="0.2">
      <c r="B33" s="263">
        <f t="shared" si="1"/>
        <v>30</v>
      </c>
      <c r="C33" s="79">
        <f t="shared" si="2"/>
        <v>750</v>
      </c>
      <c r="D33" s="79">
        <v>0</v>
      </c>
      <c r="E33" s="265" t="e">
        <f t="shared" ca="1" si="0"/>
        <v>#NAME?</v>
      </c>
      <c r="F33" s="57"/>
      <c r="G33" s="109"/>
      <c r="H33" s="123"/>
      <c r="I33" s="123"/>
      <c r="J33" s="9"/>
      <c r="Q33" s="1"/>
      <c r="R33" s="1"/>
      <c r="S33" s="70"/>
      <c r="T33" s="81"/>
    </row>
    <row r="34" spans="2:33" x14ac:dyDescent="0.2">
      <c r="B34" s="263">
        <f t="shared" si="1"/>
        <v>30</v>
      </c>
      <c r="C34" s="79">
        <f t="shared" si="2"/>
        <v>775</v>
      </c>
      <c r="D34" s="79">
        <v>0</v>
      </c>
      <c r="E34" s="265" t="e">
        <f t="shared" ca="1" si="0"/>
        <v>#NAME?</v>
      </c>
      <c r="F34" s="57"/>
      <c r="G34" s="109"/>
      <c r="H34" s="123"/>
      <c r="I34" s="123"/>
      <c r="J34" s="9"/>
      <c r="Q34" s="1"/>
      <c r="R34" s="1"/>
      <c r="S34" s="70"/>
      <c r="T34" s="81"/>
    </row>
    <row r="35" spans="2:33" x14ac:dyDescent="0.2">
      <c r="B35" s="263">
        <f t="shared" si="1"/>
        <v>30</v>
      </c>
      <c r="C35" s="79">
        <f t="shared" si="2"/>
        <v>800</v>
      </c>
      <c r="D35" s="79">
        <v>0</v>
      </c>
      <c r="E35" s="265" t="e">
        <f t="shared" ca="1" si="0"/>
        <v>#NAME?</v>
      </c>
      <c r="F35" s="57"/>
      <c r="G35" s="109"/>
      <c r="H35" s="123"/>
      <c r="I35" s="269"/>
      <c r="J35" s="270"/>
      <c r="K35" s="271"/>
      <c r="L35" s="271"/>
      <c r="M35" s="271"/>
      <c r="Q35" s="1"/>
      <c r="R35" s="1"/>
      <c r="S35" s="70"/>
      <c r="T35" s="81"/>
    </row>
    <row r="36" spans="2:33" x14ac:dyDescent="0.2">
      <c r="B36" s="263">
        <f t="shared" si="1"/>
        <v>30</v>
      </c>
      <c r="C36" s="79">
        <f t="shared" si="2"/>
        <v>825</v>
      </c>
      <c r="D36" s="79">
        <v>0</v>
      </c>
      <c r="E36" s="265" t="e">
        <f t="shared" ca="1" si="0"/>
        <v>#NAME?</v>
      </c>
      <c r="F36" s="57"/>
      <c r="G36" s="109"/>
      <c r="H36" s="123"/>
      <c r="I36" s="269"/>
      <c r="J36" s="270"/>
      <c r="K36" s="271"/>
      <c r="L36" s="271"/>
      <c r="M36" s="271"/>
      <c r="Q36" s="1"/>
      <c r="R36" s="1"/>
      <c r="S36" s="70"/>
      <c r="T36" s="81"/>
    </row>
    <row r="37" spans="2:33" x14ac:dyDescent="0.2">
      <c r="B37" s="263">
        <f t="shared" si="1"/>
        <v>30</v>
      </c>
      <c r="C37" s="79">
        <f t="shared" si="2"/>
        <v>850</v>
      </c>
      <c r="D37" s="79">
        <v>0</v>
      </c>
      <c r="E37" s="265" t="e">
        <f t="shared" ca="1" si="0"/>
        <v>#NAME?</v>
      </c>
      <c r="F37" s="57"/>
      <c r="G37" s="109"/>
      <c r="H37" s="123"/>
      <c r="I37" s="269"/>
      <c r="J37" s="270" t="s">
        <v>282</v>
      </c>
      <c r="K37" s="271"/>
      <c r="L37" s="271"/>
      <c r="M37" s="271"/>
      <c r="Q37" s="1"/>
      <c r="R37" s="1"/>
      <c r="S37" s="70"/>
      <c r="T37" s="81"/>
    </row>
    <row r="38" spans="2:33" x14ac:dyDescent="0.2">
      <c r="B38" s="263">
        <f t="shared" si="1"/>
        <v>30</v>
      </c>
      <c r="C38" s="79">
        <f t="shared" si="2"/>
        <v>875</v>
      </c>
      <c r="D38" s="79">
        <v>0</v>
      </c>
      <c r="E38" s="265" t="e">
        <f t="shared" ca="1" si="0"/>
        <v>#NAME?</v>
      </c>
      <c r="F38" s="57"/>
      <c r="G38" s="109"/>
      <c r="H38" s="123"/>
      <c r="I38" s="269"/>
      <c r="J38" s="270" t="s">
        <v>283</v>
      </c>
      <c r="K38" s="271"/>
      <c r="L38" s="271"/>
      <c r="M38" s="271"/>
      <c r="Q38" s="1"/>
      <c r="R38" s="1"/>
      <c r="S38" s="70"/>
      <c r="T38" s="81"/>
    </row>
    <row r="39" spans="2:33" x14ac:dyDescent="0.2">
      <c r="B39" s="263">
        <f t="shared" si="1"/>
        <v>30</v>
      </c>
      <c r="C39" s="79">
        <f t="shared" si="2"/>
        <v>900</v>
      </c>
      <c r="D39" s="79">
        <v>0</v>
      </c>
      <c r="E39" s="265" t="e">
        <f t="shared" ca="1" si="0"/>
        <v>#NAME?</v>
      </c>
      <c r="F39" s="57"/>
      <c r="G39" s="109"/>
      <c r="H39" s="123"/>
      <c r="I39" s="269"/>
      <c r="J39" s="270" t="s">
        <v>284</v>
      </c>
      <c r="K39" s="271"/>
      <c r="L39" s="271"/>
      <c r="M39" s="271"/>
      <c r="Q39" s="1"/>
      <c r="R39" s="1"/>
      <c r="S39" s="70"/>
      <c r="T39" s="81"/>
    </row>
    <row r="40" spans="2:33" x14ac:dyDescent="0.2">
      <c r="B40" s="263">
        <f t="shared" si="1"/>
        <v>30</v>
      </c>
      <c r="C40" s="79">
        <f t="shared" si="2"/>
        <v>925</v>
      </c>
      <c r="D40" s="79">
        <v>0</v>
      </c>
      <c r="E40" s="265" t="e">
        <f t="shared" ca="1" si="0"/>
        <v>#NAME?</v>
      </c>
      <c r="F40" s="57"/>
      <c r="G40" s="109"/>
      <c r="H40" s="123"/>
      <c r="I40" s="269"/>
      <c r="J40" s="270" t="s">
        <v>285</v>
      </c>
      <c r="K40" s="271"/>
      <c r="L40" s="271"/>
      <c r="M40" s="271"/>
      <c r="Q40" s="1"/>
      <c r="R40" s="1"/>
      <c r="S40" s="70"/>
      <c r="T40" s="217"/>
    </row>
    <row r="41" spans="2:33" x14ac:dyDescent="0.2">
      <c r="B41" s="263">
        <f t="shared" si="1"/>
        <v>30</v>
      </c>
      <c r="C41" s="79">
        <f t="shared" si="2"/>
        <v>950</v>
      </c>
      <c r="D41" s="79">
        <v>0</v>
      </c>
      <c r="E41" s="265" t="e">
        <f t="shared" ca="1" si="0"/>
        <v>#NAME?</v>
      </c>
      <c r="F41" s="57"/>
      <c r="G41" s="109"/>
      <c r="H41" s="123"/>
      <c r="I41" s="269"/>
      <c r="J41" s="270" t="s">
        <v>286</v>
      </c>
      <c r="K41" s="271"/>
      <c r="L41" s="271"/>
      <c r="M41" s="271"/>
      <c r="Q41" s="1"/>
      <c r="R41" s="1"/>
      <c r="S41" s="70"/>
      <c r="T41" s="81"/>
    </row>
    <row r="42" spans="2:33" x14ac:dyDescent="0.2">
      <c r="B42" s="263">
        <f t="shared" si="1"/>
        <v>30</v>
      </c>
      <c r="C42" s="79">
        <f t="shared" si="2"/>
        <v>975</v>
      </c>
      <c r="D42" s="79">
        <v>0</v>
      </c>
      <c r="E42" s="265" t="e">
        <f t="shared" ca="1" si="0"/>
        <v>#NAME?</v>
      </c>
      <c r="F42" s="57"/>
      <c r="G42" s="109"/>
      <c r="H42" s="123"/>
      <c r="I42" s="269"/>
      <c r="J42" s="270"/>
      <c r="K42" s="271"/>
      <c r="L42" s="271"/>
      <c r="M42" s="271"/>
      <c r="Q42" s="1"/>
      <c r="R42" s="1"/>
      <c r="S42" s="70"/>
      <c r="T42" s="81"/>
    </row>
    <row r="43" spans="2:33" x14ac:dyDescent="0.2">
      <c r="B43" s="263">
        <f t="shared" si="1"/>
        <v>30</v>
      </c>
      <c r="C43" s="79">
        <f t="shared" si="2"/>
        <v>1000</v>
      </c>
      <c r="D43" s="79">
        <v>0</v>
      </c>
      <c r="E43" s="265" t="e">
        <f t="shared" ca="1" si="0"/>
        <v>#NAME?</v>
      </c>
      <c r="F43" s="57"/>
      <c r="G43" s="109"/>
      <c r="H43" s="123"/>
      <c r="I43" s="269"/>
      <c r="J43" s="270"/>
      <c r="K43" s="271"/>
      <c r="L43" s="271"/>
      <c r="M43" s="271"/>
      <c r="Q43" s="1"/>
      <c r="R43" s="1"/>
      <c r="S43" s="70"/>
      <c r="T43" s="81"/>
    </row>
    <row r="44" spans="2:33" x14ac:dyDescent="0.2">
      <c r="B44" s="263"/>
      <c r="C44" s="79"/>
      <c r="D44" s="79"/>
      <c r="E44" s="266"/>
      <c r="F44" s="57"/>
      <c r="Q44" s="1"/>
      <c r="R44" s="1"/>
      <c r="S44" s="70"/>
      <c r="T44" s="81"/>
    </row>
    <row r="45" spans="2:33" x14ac:dyDescent="0.2">
      <c r="B45" s="263"/>
      <c r="C45" s="79"/>
      <c r="D45" s="79"/>
      <c r="E45" s="266"/>
      <c r="F45" s="57"/>
      <c r="Q45" s="1"/>
      <c r="R45" s="1"/>
      <c r="S45" s="70"/>
      <c r="T45" s="81"/>
    </row>
    <row r="46" spans="2:33" x14ac:dyDescent="0.2">
      <c r="B46" s="263"/>
      <c r="C46" s="79"/>
      <c r="D46" s="79"/>
      <c r="E46" s="266"/>
      <c r="F46" s="57"/>
      <c r="Q46" s="1"/>
      <c r="R46" s="1"/>
      <c r="S46" s="70"/>
      <c r="T46" s="81"/>
    </row>
    <row r="47" spans="2:33" x14ac:dyDescent="0.2">
      <c r="B47" s="263"/>
      <c r="C47" s="79"/>
      <c r="D47" s="79"/>
      <c r="E47" s="266"/>
      <c r="F47" s="57"/>
      <c r="Q47" s="1"/>
      <c r="R47" s="1"/>
      <c r="S47" s="70"/>
      <c r="T47" s="81"/>
    </row>
    <row r="48" spans="2:33" x14ac:dyDescent="0.2">
      <c r="B48" s="263"/>
      <c r="C48" s="79"/>
      <c r="D48" s="79"/>
      <c r="E48" s="266"/>
      <c r="F48" s="57"/>
      <c r="Q48" s="1"/>
      <c r="R48" s="1"/>
      <c r="S48" s="70"/>
      <c r="T48" s="81"/>
      <c r="AG48" s="31"/>
    </row>
    <row r="49" spans="2:33" x14ac:dyDescent="0.2">
      <c r="B49" s="263"/>
      <c r="C49" s="79"/>
      <c r="D49" s="79"/>
      <c r="E49" s="266"/>
      <c r="F49" s="57"/>
      <c r="Q49" s="1"/>
      <c r="R49" s="1"/>
      <c r="S49" s="70"/>
      <c r="T49" s="81"/>
      <c r="AG49" s="31" t="s">
        <v>2</v>
      </c>
    </row>
    <row r="50" spans="2:33" x14ac:dyDescent="0.2">
      <c r="B50" s="263"/>
      <c r="C50" s="79"/>
      <c r="D50" s="79"/>
      <c r="E50" s="266"/>
      <c r="F50" s="57"/>
      <c r="Q50" s="1"/>
      <c r="R50" s="1"/>
      <c r="S50" s="70"/>
      <c r="T50" s="81"/>
      <c r="AG50" s="31" t="s">
        <v>3</v>
      </c>
    </row>
    <row r="51" spans="2:33" x14ac:dyDescent="0.2">
      <c r="B51" s="263"/>
      <c r="C51" s="79"/>
      <c r="D51" s="79"/>
      <c r="E51" s="266"/>
      <c r="F51" s="57"/>
      <c r="Q51" s="1"/>
      <c r="R51" s="1"/>
      <c r="S51" s="70"/>
      <c r="T51" s="81"/>
      <c r="AG51" s="31" t="s">
        <v>0</v>
      </c>
    </row>
    <row r="52" spans="2:33" x14ac:dyDescent="0.2">
      <c r="B52" s="263"/>
      <c r="C52" s="79"/>
      <c r="D52" s="79"/>
      <c r="E52" s="266"/>
      <c r="F52" s="57"/>
      <c r="Q52" s="1"/>
      <c r="R52" s="1"/>
      <c r="S52" s="70"/>
      <c r="T52" s="81"/>
      <c r="AG52" s="31" t="s">
        <v>1</v>
      </c>
    </row>
    <row r="53" spans="2:33" x14ac:dyDescent="0.2">
      <c r="B53" s="263"/>
      <c r="C53" s="79"/>
      <c r="D53" s="79"/>
      <c r="E53" s="266"/>
      <c r="F53" s="57"/>
      <c r="Q53" s="1"/>
      <c r="R53" s="1"/>
      <c r="S53" s="70"/>
      <c r="T53" s="81"/>
      <c r="AG53" s="31" t="s">
        <v>28</v>
      </c>
    </row>
    <row r="54" spans="2:33" x14ac:dyDescent="0.2">
      <c r="B54" s="263"/>
      <c r="C54" s="79"/>
      <c r="D54" s="79"/>
      <c r="E54" s="266"/>
      <c r="F54" s="57"/>
      <c r="Q54" s="1"/>
      <c r="R54" s="1"/>
      <c r="S54" s="70"/>
      <c r="T54" s="81"/>
      <c r="AG54" s="31" t="s">
        <v>4</v>
      </c>
    </row>
    <row r="55" spans="2:33" x14ac:dyDescent="0.2">
      <c r="B55" s="263"/>
      <c r="C55" s="79"/>
      <c r="D55" s="79"/>
      <c r="E55" s="266"/>
      <c r="F55" s="57"/>
      <c r="Q55" s="1"/>
      <c r="R55" s="1"/>
      <c r="S55" s="70"/>
      <c r="T55" s="81"/>
      <c r="AG55" s="31" t="s">
        <v>29</v>
      </c>
    </row>
    <row r="56" spans="2:33" x14ac:dyDescent="0.2">
      <c r="B56" s="263"/>
      <c r="C56" s="79"/>
      <c r="D56" s="79"/>
      <c r="E56" s="266"/>
      <c r="F56" s="57"/>
      <c r="Q56" s="1"/>
      <c r="R56" s="1"/>
      <c r="S56" s="70"/>
      <c r="T56" s="81"/>
      <c r="AG56" s="31" t="s">
        <v>30</v>
      </c>
    </row>
    <row r="57" spans="2:33" x14ac:dyDescent="0.2">
      <c r="B57" s="263"/>
      <c r="C57" s="79"/>
      <c r="D57" s="79"/>
      <c r="E57" s="266"/>
      <c r="F57" s="57"/>
      <c r="Q57" s="1"/>
      <c r="R57" s="1"/>
      <c r="S57" s="70"/>
      <c r="T57" s="81"/>
      <c r="AG57" s="31" t="s">
        <v>31</v>
      </c>
    </row>
    <row r="58" spans="2:33" x14ac:dyDescent="0.2">
      <c r="B58" s="263"/>
      <c r="C58" s="79"/>
      <c r="D58" s="79"/>
      <c r="E58" s="266"/>
      <c r="F58" s="57"/>
      <c r="Q58" s="1"/>
      <c r="R58" s="1"/>
      <c r="S58" s="70"/>
      <c r="T58" s="81"/>
      <c r="AG58" s="31" t="s">
        <v>32</v>
      </c>
    </row>
    <row r="59" spans="2:33" x14ac:dyDescent="0.2">
      <c r="B59" s="263"/>
      <c r="C59" s="79"/>
      <c r="D59" s="79"/>
      <c r="E59" s="266"/>
      <c r="F59" s="57"/>
      <c r="Q59" s="1"/>
      <c r="R59" s="1"/>
      <c r="S59" s="70"/>
      <c r="T59" s="81"/>
      <c r="AG59" s="31" t="s">
        <v>34</v>
      </c>
    </row>
    <row r="60" spans="2:33" x14ac:dyDescent="0.2">
      <c r="B60" s="263"/>
      <c r="C60" s="79"/>
      <c r="D60" s="79"/>
      <c r="E60" s="266"/>
      <c r="F60" s="57"/>
      <c r="Q60" s="1"/>
      <c r="R60" s="1"/>
      <c r="S60" s="70"/>
      <c r="T60" s="81"/>
      <c r="AG60" s="31" t="s">
        <v>35</v>
      </c>
    </row>
    <row r="61" spans="2:33" x14ac:dyDescent="0.2">
      <c r="B61" s="263"/>
      <c r="C61" s="79"/>
      <c r="D61" s="79"/>
      <c r="E61" s="266"/>
      <c r="F61" s="57"/>
      <c r="Q61" s="1"/>
      <c r="R61" s="1"/>
      <c r="S61" s="70"/>
      <c r="T61" s="81"/>
      <c r="AG61" s="31" t="s">
        <v>33</v>
      </c>
    </row>
    <row r="62" spans="2:33" x14ac:dyDescent="0.2">
      <c r="B62" s="263"/>
      <c r="C62" s="79"/>
      <c r="D62" s="79"/>
      <c r="E62" s="266"/>
      <c r="F62" s="57"/>
      <c r="Q62" s="1"/>
      <c r="R62" s="1"/>
      <c r="S62" s="70"/>
      <c r="T62" s="81"/>
      <c r="AG62" s="31" t="s">
        <v>79</v>
      </c>
    </row>
    <row r="63" spans="2:33" x14ac:dyDescent="0.2">
      <c r="B63" s="263"/>
      <c r="C63" s="79"/>
      <c r="D63" s="79"/>
      <c r="E63" s="267"/>
      <c r="F63" s="57"/>
      <c r="Q63" s="1"/>
      <c r="R63" s="1"/>
      <c r="S63" s="70"/>
      <c r="T63" s="81"/>
      <c r="AG63" s="31" t="s">
        <v>92</v>
      </c>
    </row>
    <row r="64" spans="2:33" x14ac:dyDescent="0.2">
      <c r="B64" s="263"/>
      <c r="C64" s="79"/>
      <c r="D64" s="79"/>
      <c r="E64" s="268"/>
      <c r="F64" s="55"/>
      <c r="Q64" s="1"/>
      <c r="R64" s="1"/>
      <c r="S64" s="70"/>
      <c r="T64" s="81"/>
      <c r="AG64" s="31" t="s">
        <v>93</v>
      </c>
    </row>
    <row r="65" spans="2:33" x14ac:dyDescent="0.2">
      <c r="B65" s="209"/>
      <c r="C65" s="79"/>
      <c r="D65" s="79"/>
      <c r="E65" s="268"/>
      <c r="F65" s="109"/>
      <c r="Q65" s="1"/>
      <c r="R65" s="1"/>
      <c r="S65" s="70"/>
      <c r="T65" s="81"/>
      <c r="AG65" s="104" t="s">
        <v>94</v>
      </c>
    </row>
    <row r="66" spans="2:33" x14ac:dyDescent="0.2">
      <c r="B66" s="209"/>
      <c r="C66" s="79"/>
      <c r="D66" s="79"/>
      <c r="E66" s="268"/>
      <c r="F66" s="109"/>
      <c r="AG66" s="104" t="s">
        <v>95</v>
      </c>
    </row>
    <row r="67" spans="2:33" x14ac:dyDescent="0.2">
      <c r="B67" s="209"/>
      <c r="C67" s="79"/>
      <c r="D67" s="79"/>
      <c r="E67" s="268"/>
      <c r="F67" s="109"/>
      <c r="AG67" s="104" t="s">
        <v>96</v>
      </c>
    </row>
    <row r="68" spans="2:33" x14ac:dyDescent="0.2">
      <c r="B68" s="209"/>
      <c r="C68" s="79"/>
      <c r="D68" s="79"/>
      <c r="E68" s="268"/>
      <c r="F68" s="109"/>
      <c r="AG68" s="104" t="s">
        <v>97</v>
      </c>
    </row>
    <row r="69" spans="2:33" x14ac:dyDescent="0.2">
      <c r="B69" s="209"/>
      <c r="C69" s="79"/>
      <c r="D69" s="79"/>
      <c r="E69" s="268"/>
      <c r="F69" s="109"/>
    </row>
    <row r="70" spans="2:33" x14ac:dyDescent="0.2">
      <c r="B70" s="209"/>
      <c r="C70" s="79"/>
      <c r="D70" s="79"/>
      <c r="E70" s="268"/>
      <c r="F70" s="109"/>
    </row>
    <row r="71" spans="2:33" x14ac:dyDescent="0.2">
      <c r="B71" s="209"/>
      <c r="C71" s="79"/>
      <c r="D71" s="79"/>
      <c r="E71" s="268"/>
      <c r="F71" s="109"/>
    </row>
    <row r="72" spans="2:33" x14ac:dyDescent="0.2">
      <c r="B72" s="209"/>
      <c r="C72" s="79"/>
      <c r="D72" s="79"/>
      <c r="E72" s="268"/>
      <c r="F72" s="109"/>
    </row>
    <row r="73" spans="2:33" x14ac:dyDescent="0.2">
      <c r="B73" s="209"/>
      <c r="C73" s="79"/>
      <c r="D73" s="79"/>
      <c r="E73" s="268"/>
      <c r="F73" s="109"/>
    </row>
    <row r="74" spans="2:33" x14ac:dyDescent="0.2">
      <c r="B74" s="209"/>
      <c r="C74" s="79"/>
      <c r="D74" s="79"/>
      <c r="E74" s="268"/>
      <c r="F74" s="109"/>
    </row>
    <row r="75" spans="2:33" x14ac:dyDescent="0.2">
      <c r="B75" s="209"/>
      <c r="C75" s="79"/>
      <c r="D75" s="79"/>
      <c r="E75" s="268"/>
      <c r="F75" s="109"/>
    </row>
    <row r="76" spans="2:33" x14ac:dyDescent="0.2">
      <c r="B76" s="209"/>
      <c r="C76" s="79"/>
      <c r="D76" s="79"/>
      <c r="E76" s="268"/>
      <c r="F76" s="109"/>
    </row>
    <row r="77" spans="2:33" x14ac:dyDescent="0.2">
      <c r="B77" s="209"/>
      <c r="C77" s="79"/>
      <c r="D77" s="79"/>
      <c r="E77" s="268"/>
      <c r="F77" s="109"/>
    </row>
    <row r="78" spans="2:33" x14ac:dyDescent="0.2">
      <c r="B78" s="209"/>
      <c r="C78" s="79"/>
      <c r="D78" s="79"/>
      <c r="E78" s="268"/>
      <c r="F78" s="109"/>
    </row>
    <row r="79" spans="2:33" x14ac:dyDescent="0.2">
      <c r="B79" s="209"/>
      <c r="C79" s="79"/>
      <c r="D79" s="79"/>
      <c r="E79" s="268"/>
      <c r="F79" s="109"/>
    </row>
    <row r="80" spans="2:33" x14ac:dyDescent="0.2">
      <c r="B80" s="209"/>
      <c r="C80" s="79"/>
      <c r="D80" s="79"/>
      <c r="E80" s="268"/>
      <c r="F80" s="109"/>
    </row>
    <row r="81" spans="2:6" x14ac:dyDescent="0.2">
      <c r="B81" s="209"/>
      <c r="C81" s="79"/>
      <c r="D81" s="79"/>
      <c r="E81" s="268"/>
      <c r="F81" s="109"/>
    </row>
    <row r="82" spans="2:6" x14ac:dyDescent="0.2">
      <c r="B82" s="209"/>
      <c r="C82" s="79"/>
      <c r="D82" s="79"/>
      <c r="E82" s="268"/>
      <c r="F82" s="109"/>
    </row>
    <row r="83" spans="2:6" x14ac:dyDescent="0.2">
      <c r="B83" s="209"/>
      <c r="C83" s="79"/>
      <c r="D83" s="79"/>
      <c r="E83" s="268"/>
      <c r="F83" s="109"/>
    </row>
    <row r="84" spans="2:6" x14ac:dyDescent="0.2">
      <c r="B84" s="209"/>
      <c r="C84" s="79"/>
      <c r="D84" s="79"/>
      <c r="E84" s="268"/>
      <c r="F84" s="109"/>
    </row>
    <row r="85" spans="2:6" x14ac:dyDescent="0.2">
      <c r="B85" s="209"/>
      <c r="C85" s="79"/>
      <c r="D85" s="79"/>
      <c r="E85" s="268"/>
      <c r="F85" s="109"/>
    </row>
    <row r="86" spans="2:6" x14ac:dyDescent="0.2">
      <c r="B86" s="209"/>
      <c r="C86" s="79"/>
      <c r="D86" s="79"/>
      <c r="E86" s="268"/>
      <c r="F86" s="109"/>
    </row>
    <row r="87" spans="2:6" x14ac:dyDescent="0.2">
      <c r="B87" s="209"/>
      <c r="C87" s="79"/>
      <c r="D87" s="79"/>
      <c r="E87" s="268"/>
      <c r="F87" s="109"/>
    </row>
    <row r="88" spans="2:6" x14ac:dyDescent="0.2">
      <c r="B88" s="209"/>
      <c r="C88" s="79"/>
      <c r="D88" s="79"/>
      <c r="E88" s="268"/>
      <c r="F88" s="109"/>
    </row>
    <row r="89" spans="2:6" x14ac:dyDescent="0.2">
      <c r="B89" s="209"/>
      <c r="C89" s="79"/>
      <c r="D89" s="79"/>
      <c r="E89" s="268"/>
      <c r="F89" s="109"/>
    </row>
    <row r="90" spans="2:6" x14ac:dyDescent="0.2">
      <c r="B90" s="209"/>
      <c r="C90" s="79"/>
      <c r="D90" s="79"/>
      <c r="E90" s="268"/>
      <c r="F90" s="109"/>
    </row>
    <row r="91" spans="2:6" x14ac:dyDescent="0.2">
      <c r="B91" s="209"/>
      <c r="C91" s="79"/>
      <c r="D91" s="79"/>
      <c r="E91" s="268"/>
      <c r="F91" s="109"/>
    </row>
    <row r="92" spans="2:6" x14ac:dyDescent="0.2">
      <c r="B92" s="209"/>
      <c r="C92" s="79"/>
      <c r="D92" s="79"/>
      <c r="E92" s="268"/>
      <c r="F92" s="109"/>
    </row>
    <row r="93" spans="2:6" x14ac:dyDescent="0.2">
      <c r="B93" s="209"/>
      <c r="C93" s="79"/>
      <c r="D93" s="79"/>
      <c r="E93" s="268"/>
      <c r="F93" s="109"/>
    </row>
    <row r="94" spans="2:6" x14ac:dyDescent="0.2">
      <c r="B94" s="209"/>
      <c r="C94" s="79"/>
      <c r="D94" s="79"/>
      <c r="E94" s="268"/>
      <c r="F94" s="109"/>
    </row>
    <row r="95" spans="2:6" x14ac:dyDescent="0.2">
      <c r="B95" s="209"/>
      <c r="C95" s="79"/>
      <c r="D95" s="79"/>
      <c r="E95" s="268"/>
      <c r="F95" s="109"/>
    </row>
    <row r="96" spans="2:6" x14ac:dyDescent="0.2">
      <c r="B96" s="209"/>
      <c r="C96" s="79"/>
      <c r="D96" s="79"/>
      <c r="E96" s="268"/>
      <c r="F96" s="109"/>
    </row>
    <row r="97" spans="2:6" x14ac:dyDescent="0.2">
      <c r="B97" s="209"/>
      <c r="C97" s="79"/>
      <c r="D97" s="79"/>
      <c r="E97" s="268"/>
      <c r="F97" s="109"/>
    </row>
    <row r="98" spans="2:6" x14ac:dyDescent="0.2">
      <c r="B98" s="209"/>
      <c r="C98" s="79"/>
      <c r="D98" s="79"/>
      <c r="E98" s="268"/>
      <c r="F98" s="109"/>
    </row>
    <row r="99" spans="2:6" x14ac:dyDescent="0.2">
      <c r="B99" s="209"/>
      <c r="C99" s="79"/>
      <c r="D99" s="79"/>
      <c r="E99" s="268"/>
      <c r="F99" s="109"/>
    </row>
    <row r="100" spans="2:6" x14ac:dyDescent="0.2">
      <c r="B100" s="209"/>
      <c r="C100" s="79"/>
      <c r="D100" s="79"/>
      <c r="E100" s="268"/>
      <c r="F100" s="109"/>
    </row>
    <row r="101" spans="2:6" x14ac:dyDescent="0.2">
      <c r="E101" s="55"/>
      <c r="F101" s="109"/>
    </row>
    <row r="102" spans="2:6" x14ac:dyDescent="0.2">
      <c r="E102" s="55"/>
      <c r="F102" s="109"/>
    </row>
    <row r="103" spans="2:6" x14ac:dyDescent="0.2">
      <c r="E103" s="55"/>
      <c r="F103" s="109"/>
    </row>
    <row r="104" spans="2:6" x14ac:dyDescent="0.2">
      <c r="E104" s="55"/>
      <c r="F104" s="109"/>
    </row>
    <row r="105" spans="2:6" x14ac:dyDescent="0.2">
      <c r="E105" s="55"/>
      <c r="F105" s="109"/>
    </row>
    <row r="106" spans="2:6" x14ac:dyDescent="0.2">
      <c r="E106" s="55"/>
      <c r="F106" s="109"/>
    </row>
    <row r="107" spans="2:6" x14ac:dyDescent="0.2">
      <c r="E107" s="55"/>
      <c r="F107" s="109"/>
    </row>
    <row r="108" spans="2:6" x14ac:dyDescent="0.2">
      <c r="E108" s="55"/>
      <c r="F108" s="109"/>
    </row>
    <row r="109" spans="2:6" x14ac:dyDescent="0.2">
      <c r="E109" s="55"/>
      <c r="F109" s="109"/>
    </row>
    <row r="110" spans="2:6" x14ac:dyDescent="0.2">
      <c r="E110" s="55"/>
      <c r="F110" s="109"/>
    </row>
    <row r="111" spans="2:6" x14ac:dyDescent="0.2">
      <c r="E111" s="55"/>
      <c r="F111" s="109"/>
    </row>
    <row r="112" spans="2:6" x14ac:dyDescent="0.2">
      <c r="E112" s="55"/>
      <c r="F112" s="109"/>
    </row>
    <row r="113" spans="5:6" x14ac:dyDescent="0.2">
      <c r="E113" s="55"/>
      <c r="F113" s="109"/>
    </row>
    <row r="114" spans="5:6" x14ac:dyDescent="0.2">
      <c r="E114" s="55"/>
      <c r="F114" s="109"/>
    </row>
    <row r="115" spans="5:6" x14ac:dyDescent="0.2">
      <c r="E115" s="55"/>
      <c r="F115" s="109"/>
    </row>
    <row r="116" spans="5:6" x14ac:dyDescent="0.2">
      <c r="E116" s="55"/>
      <c r="F116" s="109"/>
    </row>
    <row r="117" spans="5:6" x14ac:dyDescent="0.2">
      <c r="E117" s="55"/>
      <c r="F117" s="109"/>
    </row>
    <row r="118" spans="5:6" x14ac:dyDescent="0.2">
      <c r="E118" s="55"/>
      <c r="F118" s="109"/>
    </row>
    <row r="119" spans="5:6" x14ac:dyDescent="0.2">
      <c r="E119" s="55"/>
      <c r="F119" s="109"/>
    </row>
    <row r="120" spans="5:6" x14ac:dyDescent="0.2">
      <c r="E120" s="55"/>
      <c r="F120" s="109"/>
    </row>
    <row r="121" spans="5:6" x14ac:dyDescent="0.2">
      <c r="E121" s="55"/>
      <c r="F121" s="109"/>
    </row>
    <row r="122" spans="5:6" x14ac:dyDescent="0.2">
      <c r="E122" s="55"/>
      <c r="F122" s="109"/>
    </row>
    <row r="123" spans="5:6" x14ac:dyDescent="0.2">
      <c r="E123" s="55"/>
      <c r="F123" s="109"/>
    </row>
    <row r="124" spans="5:6" x14ac:dyDescent="0.2">
      <c r="E124" s="55"/>
      <c r="F124" s="109"/>
    </row>
    <row r="125" spans="5:6" x14ac:dyDescent="0.2">
      <c r="E125" s="55"/>
      <c r="F125" s="109"/>
    </row>
    <row r="126" spans="5:6" x14ac:dyDescent="0.2">
      <c r="E126" s="55"/>
      <c r="F126" s="109"/>
    </row>
    <row r="127" spans="5:6" x14ac:dyDescent="0.2">
      <c r="E127" s="55"/>
      <c r="F127" s="109"/>
    </row>
    <row r="128" spans="5:6" x14ac:dyDescent="0.2">
      <c r="E128" s="55"/>
      <c r="F128" s="109"/>
    </row>
  </sheetData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3" tint="0.59999389629810485"/>
  </sheetPr>
  <dimension ref="A1:CH367"/>
  <sheetViews>
    <sheetView tabSelected="1" workbookViewId="0">
      <selection activeCell="D18" sqref="D18"/>
    </sheetView>
  </sheetViews>
  <sheetFormatPr defaultColWidth="8.85546875" defaultRowHeight="12.75" x14ac:dyDescent="0.2"/>
  <cols>
    <col min="1" max="1" width="8.85546875" style="2" customWidth="1"/>
    <col min="2" max="2" width="8.85546875" style="83" customWidth="1"/>
    <col min="3" max="3" width="8.85546875" style="2" customWidth="1"/>
    <col min="4" max="4" width="10" style="1" customWidth="1"/>
    <col min="5" max="5" width="10.7109375" style="1" customWidth="1"/>
    <col min="6" max="6" width="10.28515625" style="1" customWidth="1"/>
    <col min="7" max="8" width="11.28515625" style="1" customWidth="1"/>
    <col min="9" max="9" width="11.42578125" style="1" customWidth="1"/>
    <col min="10" max="10" width="11.7109375" style="1" customWidth="1"/>
    <col min="11" max="12" width="9.85546875" style="1" customWidth="1"/>
    <col min="13" max="14" width="8.85546875" style="1" customWidth="1"/>
    <col min="15" max="15" width="9.140625" style="1" customWidth="1"/>
    <col min="16" max="16" width="9.28515625" style="1" customWidth="1"/>
    <col min="17" max="33" width="8.85546875" style="1" customWidth="1"/>
    <col min="34" max="40" width="8.85546875" style="2" customWidth="1"/>
    <col min="41" max="43" width="8.85546875" style="1" customWidth="1"/>
    <col min="44" max="57" width="8.85546875" style="2" customWidth="1"/>
    <col min="58" max="58" width="10.7109375" style="2" customWidth="1"/>
    <col min="59" max="66" width="8.85546875" style="2" customWidth="1"/>
    <col min="67" max="71" width="8.85546875" style="1" customWidth="1"/>
    <col min="72" max="79" width="8.85546875" style="2" customWidth="1"/>
    <col min="80" max="80" width="37.7109375" style="2" customWidth="1"/>
    <col min="81" max="16384" width="8.85546875" style="2"/>
  </cols>
  <sheetData>
    <row r="1" spans="1:86" ht="16.5" x14ac:dyDescent="0.25">
      <c r="A1" s="186" t="s">
        <v>182</v>
      </c>
      <c r="AD1" s="25"/>
      <c r="AE1" s="181" t="s">
        <v>86</v>
      </c>
      <c r="AF1" s="181"/>
      <c r="AG1" s="181"/>
      <c r="AH1" s="180"/>
      <c r="AI1" s="180"/>
      <c r="AJ1" s="181" t="s">
        <v>120</v>
      </c>
      <c r="AK1" s="181" t="s">
        <v>200</v>
      </c>
      <c r="AL1" s="181" t="s">
        <v>169</v>
      </c>
      <c r="AN1" s="2" t="b">
        <v>1</v>
      </c>
      <c r="AO1" s="1" t="s">
        <v>215</v>
      </c>
      <c r="AP1" s="1" t="s">
        <v>227</v>
      </c>
      <c r="AQ1" s="1" t="s">
        <v>214</v>
      </c>
      <c r="CB1" s="2" t="s">
        <v>242</v>
      </c>
      <c r="CD1" s="1" t="b">
        <v>1</v>
      </c>
      <c r="CE1" s="1" t="s">
        <v>214</v>
      </c>
      <c r="CF1" s="1" t="s">
        <v>215</v>
      </c>
      <c r="CG1" s="1" t="s">
        <v>227</v>
      </c>
      <c r="CH1" s="1"/>
    </row>
    <row r="2" spans="1:86" x14ac:dyDescent="0.2">
      <c r="AD2" s="25"/>
      <c r="AE2" s="259" t="s">
        <v>11</v>
      </c>
      <c r="AF2" s="174"/>
      <c r="AG2" s="177"/>
      <c r="AH2" s="175"/>
      <c r="AI2" s="176" t="s">
        <v>2</v>
      </c>
      <c r="AJ2" s="235">
        <f>G28</f>
        <v>0.10000000000000002</v>
      </c>
      <c r="AK2" s="177">
        <f>Input!$L69</f>
        <v>2.7E-2</v>
      </c>
      <c r="AL2" s="182" t="s">
        <v>58</v>
      </c>
      <c r="AN2" s="71">
        <v>0.12700000000000003</v>
      </c>
      <c r="AO2" s="82">
        <v>0.1</v>
      </c>
      <c r="AP2" s="1">
        <v>0.25</v>
      </c>
      <c r="AQ2" s="71">
        <v>0.10977786425016656</v>
      </c>
      <c r="CB2" s="2" t="s">
        <v>11</v>
      </c>
      <c r="CC2" s="2" t="s">
        <v>2</v>
      </c>
      <c r="CD2" s="1">
        <v>0.12700000000000003</v>
      </c>
      <c r="CE2" s="71">
        <v>0.12020481337598234</v>
      </c>
      <c r="CF2" s="1">
        <v>0.1</v>
      </c>
      <c r="CG2" s="1">
        <v>0.25</v>
      </c>
      <c r="CH2" s="1" t="s">
        <v>58</v>
      </c>
    </row>
    <row r="3" spans="1:86" x14ac:dyDescent="0.2">
      <c r="AD3" s="25"/>
      <c r="AE3" s="260" t="s">
        <v>12</v>
      </c>
      <c r="AF3" s="170"/>
      <c r="AG3" s="172"/>
      <c r="AH3" s="171"/>
      <c r="AI3" s="169" t="s">
        <v>3</v>
      </c>
      <c r="AJ3" s="179">
        <f>G29</f>
        <v>549.99999999999977</v>
      </c>
      <c r="AK3" s="172">
        <f>Input!$L70</f>
        <v>100</v>
      </c>
      <c r="AL3" s="183" t="s">
        <v>59</v>
      </c>
      <c r="AN3" s="70">
        <v>403.42879349273511</v>
      </c>
      <c r="AO3" s="1">
        <v>500</v>
      </c>
      <c r="AP3" s="1">
        <v>0.5</v>
      </c>
      <c r="AQ3" s="70">
        <v>581.21152622372256</v>
      </c>
      <c r="CB3" s="2" t="s">
        <v>12</v>
      </c>
      <c r="CC3" s="2" t="s">
        <v>3</v>
      </c>
      <c r="CD3" s="70">
        <v>403.42879349273511</v>
      </c>
      <c r="CE3" s="70">
        <v>511.52959186384237</v>
      </c>
      <c r="CF3" s="1">
        <v>500</v>
      </c>
      <c r="CG3" s="1">
        <v>0.5</v>
      </c>
      <c r="CH3" s="1" t="s">
        <v>59</v>
      </c>
    </row>
    <row r="4" spans="1:86" x14ac:dyDescent="0.2">
      <c r="B4" s="184" t="s">
        <v>183</v>
      </c>
      <c r="C4" s="74"/>
      <c r="D4" s="74"/>
      <c r="E4" s="148"/>
      <c r="G4" s="62" t="s">
        <v>345</v>
      </c>
      <c r="AD4" s="25"/>
      <c r="AE4" s="260" t="s">
        <v>13</v>
      </c>
      <c r="AF4" s="170"/>
      <c r="AG4" s="172"/>
      <c r="AH4" s="171"/>
      <c r="AI4" s="169" t="s">
        <v>0</v>
      </c>
      <c r="AJ4" s="165">
        <f>G30</f>
        <v>0.75</v>
      </c>
      <c r="AK4" s="172">
        <f>Input!$L71</f>
        <v>0.8</v>
      </c>
      <c r="AL4" s="183" t="s">
        <v>119</v>
      </c>
      <c r="AN4" s="82">
        <v>0.79</v>
      </c>
      <c r="AO4" s="82">
        <v>0.9</v>
      </c>
      <c r="AP4" s="1">
        <v>0.35</v>
      </c>
      <c r="AQ4" s="82">
        <v>1.1045449709814168</v>
      </c>
      <c r="CB4" s="2" t="s">
        <v>13</v>
      </c>
      <c r="CC4" s="2" t="s">
        <v>0</v>
      </c>
      <c r="CD4" s="1">
        <v>0.75</v>
      </c>
      <c r="CE4" s="82">
        <v>1.0003991369590948</v>
      </c>
      <c r="CF4" s="1">
        <v>0.9</v>
      </c>
      <c r="CG4" s="1">
        <v>0.35</v>
      </c>
      <c r="CH4" s="1" t="s">
        <v>119</v>
      </c>
    </row>
    <row r="5" spans="1:86" x14ac:dyDescent="0.2">
      <c r="B5" s="168"/>
      <c r="C5" s="324"/>
      <c r="D5" s="324" t="s">
        <v>165</v>
      </c>
      <c r="E5" s="94"/>
      <c r="AD5" s="25"/>
      <c r="AE5" s="260" t="s">
        <v>106</v>
      </c>
      <c r="AF5" s="170"/>
      <c r="AG5" s="172"/>
      <c r="AH5" s="171"/>
      <c r="AI5" s="169" t="s">
        <v>1</v>
      </c>
      <c r="AJ5" s="172">
        <f>D7</f>
        <v>20</v>
      </c>
      <c r="AK5" s="172">
        <f>Input!$L72</f>
        <v>10</v>
      </c>
      <c r="AL5" s="183" t="s">
        <v>16</v>
      </c>
      <c r="AN5" s="1">
        <v>10</v>
      </c>
      <c r="AO5" s="1">
        <v>20</v>
      </c>
      <c r="AQ5" s="1">
        <v>20</v>
      </c>
      <c r="CB5" s="2" t="s">
        <v>108</v>
      </c>
      <c r="CC5" s="2" t="s">
        <v>30</v>
      </c>
      <c r="CD5" s="71">
        <v>7.0651213060429596E-2</v>
      </c>
      <c r="CE5" s="71">
        <v>6.1084598825231866E-2</v>
      </c>
      <c r="CF5" s="1">
        <v>6.3000000000000014E-2</v>
      </c>
      <c r="CG5" s="1">
        <v>0.25</v>
      </c>
      <c r="CH5" s="1" t="s">
        <v>15</v>
      </c>
    </row>
    <row r="6" spans="1:86" ht="12.75" customHeight="1" x14ac:dyDescent="0.2">
      <c r="A6" s="1"/>
      <c r="B6" s="251"/>
      <c r="C6" s="325"/>
      <c r="D6" s="325"/>
      <c r="E6" s="74" t="s">
        <v>201</v>
      </c>
      <c r="AD6" s="25"/>
      <c r="AE6" s="260" t="s">
        <v>10</v>
      </c>
      <c r="AF6" s="170"/>
      <c r="AG6" s="172"/>
      <c r="AH6" s="171"/>
      <c r="AI6" s="169" t="s">
        <v>28</v>
      </c>
      <c r="AJ6" s="172">
        <f>D8</f>
        <v>10</v>
      </c>
      <c r="AK6" s="172">
        <f>Input!$L73</f>
        <v>10</v>
      </c>
      <c r="AL6" s="183" t="s">
        <v>16</v>
      </c>
      <c r="AN6" s="1">
        <v>10</v>
      </c>
      <c r="AO6" s="1">
        <v>10</v>
      </c>
      <c r="AQ6" s="1">
        <v>10</v>
      </c>
      <c r="CB6" s="2" t="s">
        <v>6</v>
      </c>
      <c r="CC6" s="2" t="s">
        <v>32</v>
      </c>
      <c r="CD6" s="82">
        <v>1.2460767305873808</v>
      </c>
      <c r="CE6" s="82">
        <v>1.1525156370377989</v>
      </c>
      <c r="CF6" s="82">
        <v>1.3</v>
      </c>
      <c r="CG6" s="1">
        <v>0.25</v>
      </c>
      <c r="CH6" s="1" t="s">
        <v>119</v>
      </c>
    </row>
    <row r="7" spans="1:86" ht="15.75" x14ac:dyDescent="0.3">
      <c r="A7" s="1"/>
      <c r="B7" s="124" t="s">
        <v>264</v>
      </c>
      <c r="C7" s="149"/>
      <c r="D7" s="77">
        <v>20</v>
      </c>
      <c r="E7" s="99">
        <v>0</v>
      </c>
      <c r="G7" s="185" t="s">
        <v>196</v>
      </c>
      <c r="H7" s="32"/>
      <c r="I7" s="32"/>
      <c r="J7" s="32"/>
      <c r="K7" s="2"/>
      <c r="L7" s="185" t="s">
        <v>223</v>
      </c>
      <c r="M7" s="74"/>
      <c r="N7" s="74"/>
      <c r="O7" s="25"/>
      <c r="AB7" s="1" t="s">
        <v>191</v>
      </c>
      <c r="AD7" s="25"/>
      <c r="AE7" s="260" t="s">
        <v>107</v>
      </c>
      <c r="AF7" s="170"/>
      <c r="AG7" s="172"/>
      <c r="AH7" s="171"/>
      <c r="AI7" s="169" t="s">
        <v>4</v>
      </c>
      <c r="AJ7" s="179">
        <f>G38</f>
        <v>1965</v>
      </c>
      <c r="AK7" s="172">
        <f>Input!$L74</f>
        <v>1951</v>
      </c>
      <c r="AL7" s="183" t="s">
        <v>163</v>
      </c>
      <c r="AN7" s="1">
        <v>1960</v>
      </c>
      <c r="AO7" s="1">
        <v>1965</v>
      </c>
      <c r="AQ7" s="1">
        <v>1962</v>
      </c>
      <c r="CB7" s="2" t="s">
        <v>7</v>
      </c>
      <c r="CC7" s="2" t="s">
        <v>34</v>
      </c>
      <c r="CD7" s="1">
        <v>70</v>
      </c>
      <c r="CE7" s="70">
        <v>88.263015651983579</v>
      </c>
      <c r="CF7" s="1">
        <v>50</v>
      </c>
      <c r="CG7" s="1">
        <v>1</v>
      </c>
      <c r="CH7" s="1" t="s">
        <v>16</v>
      </c>
    </row>
    <row r="8" spans="1:86" ht="15.75" x14ac:dyDescent="0.3">
      <c r="A8" s="1"/>
      <c r="B8" s="124" t="s">
        <v>263</v>
      </c>
      <c r="C8" s="149"/>
      <c r="D8" s="77">
        <v>10</v>
      </c>
      <c r="E8" s="99">
        <v>0</v>
      </c>
      <c r="G8" s="83" t="s">
        <v>323</v>
      </c>
      <c r="H8" s="2"/>
      <c r="I8" s="2"/>
      <c r="J8" s="287" t="s">
        <v>36</v>
      </c>
      <c r="K8" s="65" t="s">
        <v>36</v>
      </c>
      <c r="L8" s="247" t="s">
        <v>334</v>
      </c>
      <c r="O8" s="289">
        <v>2005</v>
      </c>
      <c r="AB8" s="161">
        <v>1</v>
      </c>
      <c r="AC8" s="161">
        <v>1</v>
      </c>
      <c r="AD8" s="25"/>
      <c r="AE8" s="260" t="s">
        <v>154</v>
      </c>
      <c r="AF8" s="170"/>
      <c r="AG8" s="172"/>
      <c r="AH8" s="171"/>
      <c r="AI8" s="169" t="s">
        <v>29</v>
      </c>
      <c r="AJ8" s="172">
        <f>D9</f>
        <v>2008</v>
      </c>
      <c r="AK8" s="172">
        <f>Input!$L75</f>
        <v>1999</v>
      </c>
      <c r="AL8" s="183" t="s">
        <v>163</v>
      </c>
      <c r="AN8" s="1">
        <v>2005</v>
      </c>
      <c r="AO8" s="1">
        <v>2005</v>
      </c>
      <c r="AQ8" s="1">
        <v>2005</v>
      </c>
      <c r="CB8" s="2" t="s">
        <v>8</v>
      </c>
      <c r="CC8" s="2" t="s">
        <v>35</v>
      </c>
      <c r="CD8" s="1">
        <v>20</v>
      </c>
      <c r="CE8" s="70">
        <v>9.9333370365905722</v>
      </c>
      <c r="CF8" s="1">
        <v>10</v>
      </c>
      <c r="CG8" s="1">
        <v>1</v>
      </c>
      <c r="CH8" s="1" t="s">
        <v>16</v>
      </c>
    </row>
    <row r="9" spans="1:86" ht="15.75" x14ac:dyDescent="0.3">
      <c r="A9" s="1"/>
      <c r="B9" s="124" t="s">
        <v>262</v>
      </c>
      <c r="C9" s="149"/>
      <c r="D9" s="77">
        <v>2008</v>
      </c>
      <c r="E9" s="99">
        <v>1E-3</v>
      </c>
      <c r="G9" s="83" t="s">
        <v>325</v>
      </c>
      <c r="J9" s="288">
        <v>0.8</v>
      </c>
      <c r="K9" s="104"/>
      <c r="L9" s="83" t="s">
        <v>333</v>
      </c>
      <c r="O9" s="290" t="e">
        <f ca="1">Cnapl($AJ$2,$AJ$3,$AJ$4,$AJ$5,$AJ$6,$AJ$7,$AJ$8,$AJ$9,$AJ$10,$AJ$11,$AJ$12,$AJ$13,$AJ$14,$AJ$15,$AJ$16,$AJ$17,$AJ$18,$AJ$19,$AJ$20,$AJ$21, 99, 99, O$8,5)</f>
        <v>#NAME?</v>
      </c>
      <c r="AB9" s="161">
        <v>10000</v>
      </c>
      <c r="AC9" s="161">
        <v>10000</v>
      </c>
      <c r="AD9" s="25"/>
      <c r="AE9" s="260" t="s">
        <v>108</v>
      </c>
      <c r="AF9" s="170"/>
      <c r="AG9" s="172"/>
      <c r="AH9" s="171"/>
      <c r="AI9" s="169" t="s">
        <v>30</v>
      </c>
      <c r="AJ9" s="166">
        <f>G31</f>
        <v>6.3000000000000014E-2</v>
      </c>
      <c r="AK9" s="172">
        <f>Input!L76</f>
        <v>6.2500000000000014E-2</v>
      </c>
      <c r="AL9" s="183" t="s">
        <v>15</v>
      </c>
      <c r="AN9" s="71">
        <v>7.0651213060429596E-2</v>
      </c>
      <c r="AO9" s="71">
        <v>6.3000000000000014E-2</v>
      </c>
      <c r="AP9" s="1">
        <v>0.25</v>
      </c>
      <c r="AQ9" s="71">
        <v>5.5619781360893371E-2</v>
      </c>
      <c r="CB9" s="2" t="s">
        <v>156</v>
      </c>
      <c r="CC9" s="2" t="s">
        <v>79</v>
      </c>
      <c r="CD9" s="71">
        <v>2.0241911445804391E-2</v>
      </c>
      <c r="CE9" s="71">
        <v>1.4944559472605534E-2</v>
      </c>
      <c r="CF9" s="1">
        <v>1.4999999999999999E-2</v>
      </c>
      <c r="CG9" s="1">
        <v>0.25</v>
      </c>
      <c r="CH9" s="1" t="s">
        <v>119</v>
      </c>
    </row>
    <row r="10" spans="1:86" ht="12.75" customHeight="1" x14ac:dyDescent="0.25">
      <c r="A10" s="1"/>
      <c r="B10" s="246" t="s">
        <v>261</v>
      </c>
      <c r="C10" s="149"/>
      <c r="D10" s="77">
        <v>0.3</v>
      </c>
      <c r="E10" s="99">
        <v>0</v>
      </c>
      <c r="G10" s="83" t="s">
        <v>348</v>
      </c>
      <c r="J10" s="287">
        <v>1</v>
      </c>
      <c r="K10" s="249"/>
      <c r="L10" s="83" t="s">
        <v>311</v>
      </c>
      <c r="O10" s="291" t="e">
        <f ca="1">Cnapl($AJ$2,$AJ$3,$AJ$4,$AJ$5,$AJ$6,$AJ$7,$AJ$8,$AJ$9,$AJ$10,$AJ$11,$AJ$12,$AJ$13,$AJ$14,$AJ$15,$AJ$16,$AJ$17,$AJ$18,$AJ$19,$AJ$20,$AJ$21, 99,99,O8,4)</f>
        <v>#NAME?</v>
      </c>
      <c r="AB10" s="161">
        <v>0.1</v>
      </c>
      <c r="AC10" s="161">
        <v>0.1</v>
      </c>
      <c r="AD10" s="25"/>
      <c r="AE10" s="260" t="s">
        <v>155</v>
      </c>
      <c r="AF10" s="170"/>
      <c r="AG10" s="172"/>
      <c r="AH10" s="171"/>
      <c r="AI10" s="169" t="s">
        <v>31</v>
      </c>
      <c r="AJ10" s="172">
        <f>D10</f>
        <v>0.3</v>
      </c>
      <c r="AK10" s="165">
        <f>Input!L77</f>
        <v>0.3</v>
      </c>
      <c r="AL10" s="183" t="s">
        <v>119</v>
      </c>
      <c r="AN10" s="1">
        <v>0.27</v>
      </c>
      <c r="AO10" s="1">
        <v>0.3</v>
      </c>
      <c r="AQ10" s="1">
        <v>0.3</v>
      </c>
      <c r="CB10" s="2" t="s">
        <v>157</v>
      </c>
      <c r="CC10" s="2" t="s">
        <v>173</v>
      </c>
      <c r="CD10" s="217">
        <v>3.3546262790251185E-4</v>
      </c>
      <c r="CE10" s="217">
        <v>3.062878527166058E-4</v>
      </c>
      <c r="CF10" s="217">
        <v>2.9999999999999997E-4</v>
      </c>
      <c r="CG10" s="1">
        <v>0.25</v>
      </c>
      <c r="CH10" s="1" t="s">
        <v>17</v>
      </c>
    </row>
    <row r="11" spans="1:86" ht="15.75" x14ac:dyDescent="0.3">
      <c r="A11" s="1"/>
      <c r="B11" s="124" t="s">
        <v>260</v>
      </c>
      <c r="C11" s="149"/>
      <c r="D11" s="77">
        <v>1000</v>
      </c>
      <c r="E11" s="99">
        <v>0</v>
      </c>
      <c r="G11" s="83" t="s">
        <v>324</v>
      </c>
      <c r="J11" s="156">
        <f>TINV((1-J9)*IF(J10=2,1,2),J$20)</f>
        <v>0.85376726147129767</v>
      </c>
      <c r="L11" s="83" t="s">
        <v>224</v>
      </c>
      <c r="M11" s="73"/>
      <c r="O11" s="291" t="e">
        <f ca="1">Cnapl($AJ$2,$AJ$3,$AJ$4,$AJ$5,$AJ$6,$AJ$7,$AJ$8,$AJ$9,$AJ$10,$AJ$11,$AJ$12,$AJ$13,$AJ$14,$AJ$15,$AJ$16,$AJ$17,$AJ$18,$AJ$19,$AJ$20,$AJ$21, 99,99,$AJ$8,1)</f>
        <v>#NAME?</v>
      </c>
      <c r="AB11" s="161">
        <v>10000</v>
      </c>
      <c r="AC11" s="161">
        <v>10000</v>
      </c>
      <c r="AD11" s="25"/>
      <c r="AE11" s="260" t="s">
        <v>6</v>
      </c>
      <c r="AF11" s="170"/>
      <c r="AG11" s="172"/>
      <c r="AH11" s="171"/>
      <c r="AI11" s="169" t="s">
        <v>32</v>
      </c>
      <c r="AJ11" s="165">
        <f>G32</f>
        <v>1.3</v>
      </c>
      <c r="AK11" s="172">
        <f>Input!$L78</f>
        <v>1.25</v>
      </c>
      <c r="AL11" s="183" t="s">
        <v>119</v>
      </c>
      <c r="AN11" s="82">
        <v>1.22</v>
      </c>
      <c r="AO11" s="1">
        <v>1.3</v>
      </c>
      <c r="AP11" s="1">
        <v>0.25</v>
      </c>
      <c r="AQ11" s="82">
        <v>1.1777667125595943</v>
      </c>
      <c r="CB11" s="2" t="s">
        <v>158</v>
      </c>
      <c r="CC11" s="2" t="s">
        <v>174</v>
      </c>
      <c r="CD11" s="217">
        <v>6.3420556382641046E-4</v>
      </c>
      <c r="CE11" s="217">
        <v>5.3596459857903399E-4</v>
      </c>
      <c r="CF11" s="217">
        <v>5.0000000000000001E-4</v>
      </c>
      <c r="CG11" s="1">
        <v>0.25</v>
      </c>
      <c r="CH11" s="1" t="s">
        <v>17</v>
      </c>
    </row>
    <row r="12" spans="1:86" ht="15.75" x14ac:dyDescent="0.3">
      <c r="A12" s="1"/>
      <c r="B12" s="124" t="s">
        <v>259</v>
      </c>
      <c r="C12" s="150"/>
      <c r="D12" s="78">
        <v>2010</v>
      </c>
      <c r="E12" s="100">
        <v>0</v>
      </c>
      <c r="G12" s="83"/>
      <c r="H12" s="9"/>
      <c r="I12" s="2"/>
      <c r="L12" s="83" t="s">
        <v>225</v>
      </c>
      <c r="M12" s="73"/>
      <c r="O12" s="291" t="e">
        <f ca="1">Cnapl($AJ$2,$AJ$3,$AJ$4,$AJ$5,$AJ$6,$AJ$7,$AJ$8,$AJ$9,$AJ$10,$AJ$11,$AJ$12,$AJ$13,$AJ$14,$AJ$15,$AJ$16,$AJ$17,$AJ$18,$AJ$19,$AJ$20,$AJ$21, 99,99,$AJ$18,2)</f>
        <v>#NAME?</v>
      </c>
      <c r="AD12" s="25"/>
      <c r="AE12" s="260" t="s">
        <v>7</v>
      </c>
      <c r="AF12" s="170"/>
      <c r="AG12" s="172"/>
      <c r="AH12" s="171"/>
      <c r="AI12" s="169" t="s">
        <v>34</v>
      </c>
      <c r="AJ12" s="165">
        <f>G33</f>
        <v>49.999999999999993</v>
      </c>
      <c r="AK12" s="172">
        <f>Input!$L79</f>
        <v>100</v>
      </c>
      <c r="AL12" s="183" t="s">
        <v>16</v>
      </c>
      <c r="AN12" s="70">
        <v>60</v>
      </c>
      <c r="AO12" s="70">
        <v>50</v>
      </c>
      <c r="AP12" s="1">
        <v>1</v>
      </c>
      <c r="AQ12" s="70">
        <v>100.17000297063485</v>
      </c>
      <c r="CB12" s="2" t="s">
        <v>222</v>
      </c>
      <c r="CC12" s="2" t="s">
        <v>219</v>
      </c>
      <c r="CD12" s="70">
        <v>383.75333906111189</v>
      </c>
      <c r="CE12" s="70">
        <v>469.75824335382458</v>
      </c>
      <c r="CF12" s="1">
        <v>450</v>
      </c>
      <c r="CG12" s="1">
        <v>0.25</v>
      </c>
      <c r="CH12" s="1" t="s">
        <v>218</v>
      </c>
    </row>
    <row r="13" spans="1:86" ht="15.75" x14ac:dyDescent="0.3">
      <c r="A13" s="1"/>
      <c r="B13" s="104" t="s">
        <v>309</v>
      </c>
      <c r="C13" s="151"/>
      <c r="D13" s="99">
        <v>0.01</v>
      </c>
      <c r="E13" s="100">
        <v>0.5</v>
      </c>
      <c r="G13" s="185" t="s">
        <v>195</v>
      </c>
      <c r="H13" s="32"/>
      <c r="I13" s="32"/>
      <c r="J13" s="32"/>
      <c r="L13" s="83" t="s">
        <v>226</v>
      </c>
      <c r="M13" s="258"/>
      <c r="N13" s="258"/>
      <c r="O13" s="156" t="e">
        <f ca="1">1-O12/O11</f>
        <v>#NAME?</v>
      </c>
      <c r="AD13" s="25"/>
      <c r="AE13" s="260" t="s">
        <v>8</v>
      </c>
      <c r="AF13" s="170"/>
      <c r="AG13" s="149"/>
      <c r="AH13" s="172"/>
      <c r="AI13" s="169" t="s">
        <v>35</v>
      </c>
      <c r="AJ13" s="165">
        <f>G34</f>
        <v>10.000000000000002</v>
      </c>
      <c r="AK13" s="172">
        <f>Input!$L80</f>
        <v>5</v>
      </c>
      <c r="AL13" s="183" t="s">
        <v>16</v>
      </c>
      <c r="AN13" s="70">
        <v>8</v>
      </c>
      <c r="AO13" s="70">
        <v>10</v>
      </c>
      <c r="AP13" s="1">
        <v>1</v>
      </c>
      <c r="AQ13" s="70">
        <v>9.5683338134853315</v>
      </c>
      <c r="CB13" s="2" t="s">
        <v>161</v>
      </c>
      <c r="CC13" s="2" t="s">
        <v>95</v>
      </c>
      <c r="CD13" s="1">
        <v>1.5</v>
      </c>
      <c r="CE13" s="1">
        <v>1.5</v>
      </c>
      <c r="CF13" s="1">
        <v>1</v>
      </c>
      <c r="CG13" s="1">
        <v>0.5</v>
      </c>
      <c r="CH13" s="1" t="s">
        <v>119</v>
      </c>
    </row>
    <row r="14" spans="1:86" ht="14.25" customHeight="1" x14ac:dyDescent="0.3">
      <c r="A14" s="1"/>
      <c r="B14" s="254" t="s">
        <v>274</v>
      </c>
      <c r="C14" s="151"/>
      <c r="D14" s="78">
        <v>0</v>
      </c>
      <c r="E14" s="100">
        <v>0.5</v>
      </c>
      <c r="F14" s="83"/>
      <c r="G14" s="83" t="s">
        <v>184</v>
      </c>
      <c r="I14" s="2"/>
      <c r="J14" s="127">
        <f>SUM(I28:I40)</f>
        <v>0</v>
      </c>
      <c r="L14" s="83" t="s">
        <v>308</v>
      </c>
      <c r="O14" s="127" t="e">
        <f ca="1">Cnapl($AJ$2,$AJ$3,$AJ$4,$AJ$5,$AJ$6,$AJ$7,$AJ$8,$AJ$9,$AJ$10,$AJ$11,$AJ$12,$AJ$13,$AJ$14,$AJ$15,$AJ$16,$AJ$17,$AJ$18,$AJ$19,$AJ$20,$AJ$21, 99, 99, $AJ$18,3)</f>
        <v>#NAME?</v>
      </c>
      <c r="AD14" s="25"/>
      <c r="AE14" s="260" t="s">
        <v>156</v>
      </c>
      <c r="AF14" s="170"/>
      <c r="AG14" s="149"/>
      <c r="AH14" s="172"/>
      <c r="AI14" s="169" t="s">
        <v>321</v>
      </c>
      <c r="AJ14" s="165">
        <f>G35</f>
        <v>1.0000000000000004E-2</v>
      </c>
      <c r="AK14" s="172">
        <f>Input!$L81</f>
        <v>1.9E-2</v>
      </c>
      <c r="AL14" s="183" t="s">
        <v>119</v>
      </c>
      <c r="AN14" s="71">
        <v>2.0241911445804391E-2</v>
      </c>
      <c r="AO14" s="71">
        <v>1.4999999999999999E-2</v>
      </c>
      <c r="AP14" s="1">
        <v>0.25</v>
      </c>
      <c r="AQ14" s="71">
        <v>1.4952401479453144E-2</v>
      </c>
      <c r="CB14" s="2" t="s">
        <v>220</v>
      </c>
      <c r="CC14" s="2" t="s">
        <v>228</v>
      </c>
      <c r="CD14" s="82">
        <v>0.14280692161903291</v>
      </c>
      <c r="CE14" s="82">
        <v>0.12236711878441696</v>
      </c>
      <c r="CF14" s="1">
        <v>0.12</v>
      </c>
      <c r="CG14" s="1">
        <v>0.25</v>
      </c>
      <c r="CH14" s="1" t="s">
        <v>119</v>
      </c>
    </row>
    <row r="15" spans="1:86" ht="14.25" customHeight="1" x14ac:dyDescent="0.3">
      <c r="A15" s="1"/>
      <c r="B15" s="124" t="s">
        <v>273</v>
      </c>
      <c r="C15" s="151"/>
      <c r="D15" s="99">
        <v>1</v>
      </c>
      <c r="E15" s="100">
        <v>0.3</v>
      </c>
      <c r="G15" s="83" t="s">
        <v>185</v>
      </c>
      <c r="I15" s="2"/>
      <c r="J15" s="157" t="e">
        <f ca="1">J14/J17*100</f>
        <v>#NAME?</v>
      </c>
      <c r="L15" s="83" t="s">
        <v>279</v>
      </c>
      <c r="O15" s="218">
        <f>IF($AJ$4&lt;1,$AJ$8+$AJ$3^(1-$AJ$4)/((1-$AJ$4)*$AJ$2/$AJ$3^$AJ$4)/365,9999)</f>
        <v>2068.2739726027398</v>
      </c>
      <c r="AD15" s="25"/>
      <c r="AE15" s="260" t="s">
        <v>157</v>
      </c>
      <c r="AF15" s="170"/>
      <c r="AG15" s="149"/>
      <c r="AH15" s="172"/>
      <c r="AI15" s="169" t="s">
        <v>173</v>
      </c>
      <c r="AJ15" s="178">
        <f>G36</f>
        <v>2.5000000000000001E-4</v>
      </c>
      <c r="AK15" s="178">
        <f>Input!$L82</f>
        <v>4.2630856962705735E-4</v>
      </c>
      <c r="AL15" s="183" t="s">
        <v>17</v>
      </c>
      <c r="AN15" s="217">
        <v>2.0000000000000001E-4</v>
      </c>
      <c r="AO15" s="217">
        <v>2.9999999999999997E-4</v>
      </c>
      <c r="AP15" s="1">
        <v>0.25</v>
      </c>
      <c r="AQ15" s="217">
        <v>2.9984113702882553E-4</v>
      </c>
      <c r="CB15" s="2" t="s">
        <v>243</v>
      </c>
    </row>
    <row r="16" spans="1:86" ht="14.25" customHeight="1" x14ac:dyDescent="0.3">
      <c r="C16" s="151"/>
      <c r="D16" s="99"/>
      <c r="E16" s="100"/>
      <c r="G16" s="85" t="s">
        <v>186</v>
      </c>
      <c r="I16" s="2"/>
      <c r="J16" s="127" t="e">
        <f ca="1">SUM(M52:M200)</f>
        <v>#NAME?</v>
      </c>
      <c r="L16" s="83" t="s">
        <v>280</v>
      </c>
      <c r="O16" s="250" t="e">
        <f ca="1">Cnapl($AJ$2,$AJ$3,$AJ$4,$AJ$5,$AJ$6,$AJ$7,$AJ$8,$AJ$9,$AJ$10,$AJ$11,$AJ$12,$AJ$13,$AJ$14,$AJ$15,$AJ$16,$AJ$17,$AJ$18,$AJ$19,$AJ$20,$AJ$21, 99,99,$AJ$7,4)</f>
        <v>#NAME?</v>
      </c>
      <c r="AD16" s="25"/>
      <c r="AE16" s="260" t="s">
        <v>111</v>
      </c>
      <c r="AF16" s="170"/>
      <c r="AG16" s="149"/>
      <c r="AH16" s="172"/>
      <c r="AI16" s="169" t="s">
        <v>110</v>
      </c>
      <c r="AJ16" s="172">
        <f>D11</f>
        <v>1000</v>
      </c>
      <c r="AK16" s="172">
        <f>Input!$L83</f>
        <v>1000</v>
      </c>
      <c r="AL16" s="183" t="s">
        <v>16</v>
      </c>
      <c r="AN16" s="1">
        <v>500</v>
      </c>
      <c r="AO16" s="1">
        <v>1000</v>
      </c>
      <c r="AQ16" s="1">
        <v>1000</v>
      </c>
      <c r="CB16" s="2" t="s">
        <v>107</v>
      </c>
      <c r="CC16" s="2" t="s">
        <v>4</v>
      </c>
      <c r="CD16" s="1">
        <v>1960</v>
      </c>
      <c r="CE16" s="1">
        <v>1965</v>
      </c>
      <c r="CF16" s="1">
        <v>1965</v>
      </c>
      <c r="CG16" s="1"/>
      <c r="CH16" s="1" t="s">
        <v>163</v>
      </c>
    </row>
    <row r="17" spans="1:86" x14ac:dyDescent="0.2">
      <c r="C17" s="151"/>
      <c r="D17" s="99"/>
      <c r="E17" s="100"/>
      <c r="G17" s="85" t="s">
        <v>187</v>
      </c>
      <c r="I17" s="2"/>
      <c r="J17" s="127" t="e">
        <f ca="1">SUM(J52:J200)+J14</f>
        <v>#NAME?</v>
      </c>
      <c r="O17" s="70"/>
      <c r="AD17" s="25"/>
      <c r="AE17" s="260" t="s">
        <v>158</v>
      </c>
      <c r="AF17" s="170"/>
      <c r="AG17" s="149"/>
      <c r="AH17" s="172"/>
      <c r="AI17" s="169" t="s">
        <v>174</v>
      </c>
      <c r="AJ17" s="178">
        <f>G37</f>
        <v>2.5000000000000001E-4</v>
      </c>
      <c r="AK17" s="178">
        <f>Input!$L84</f>
        <v>3.4059237133822224E-4</v>
      </c>
      <c r="AL17" s="183" t="s">
        <v>17</v>
      </c>
      <c r="AN17" s="217">
        <v>4.0000000000000002E-4</v>
      </c>
      <c r="AO17" s="217">
        <v>5.0000000000000001E-4</v>
      </c>
      <c r="AP17" s="1">
        <v>0.25</v>
      </c>
      <c r="AQ17" s="217">
        <v>6.0882198253943052E-4</v>
      </c>
      <c r="CB17" s="2" t="s">
        <v>154</v>
      </c>
      <c r="CC17" s="2" t="s">
        <v>29</v>
      </c>
      <c r="CD17" s="1">
        <v>2005</v>
      </c>
      <c r="CE17" s="1">
        <v>2005</v>
      </c>
      <c r="CF17" s="1">
        <v>2005</v>
      </c>
      <c r="CG17" s="1"/>
      <c r="CH17" s="1" t="s">
        <v>163</v>
      </c>
    </row>
    <row r="18" spans="1:86" x14ac:dyDescent="0.2">
      <c r="C18" s="151"/>
      <c r="D18" s="99"/>
      <c r="E18" s="100"/>
      <c r="G18" s="83" t="s">
        <v>189</v>
      </c>
      <c r="I18" s="2"/>
      <c r="J18" s="158">
        <f>COUNTA(B28:B39)</f>
        <v>12</v>
      </c>
      <c r="O18" s="70"/>
      <c r="AD18" s="25"/>
      <c r="AE18" s="260" t="s">
        <v>109</v>
      </c>
      <c r="AF18" s="170"/>
      <c r="AG18" s="149"/>
      <c r="AH18" s="172"/>
      <c r="AI18" s="169" t="s">
        <v>92</v>
      </c>
      <c r="AJ18" s="179">
        <f>D12</f>
        <v>2010</v>
      </c>
      <c r="AK18" s="172">
        <f>Input!$L85</f>
        <v>2005</v>
      </c>
      <c r="AL18" s="183" t="s">
        <v>163</v>
      </c>
      <c r="AN18" s="70">
        <v>2005</v>
      </c>
      <c r="AO18" s="70">
        <v>2005.1</v>
      </c>
      <c r="AQ18" s="70">
        <v>2005</v>
      </c>
      <c r="CB18" s="2" t="s">
        <v>109</v>
      </c>
      <c r="CC18" s="2" t="s">
        <v>92</v>
      </c>
      <c r="CD18" s="1">
        <v>2005</v>
      </c>
      <c r="CE18" s="1">
        <v>2005</v>
      </c>
      <c r="CF18" s="1">
        <v>2005.1</v>
      </c>
      <c r="CG18" s="1"/>
      <c r="CH18" s="1" t="s">
        <v>163</v>
      </c>
    </row>
    <row r="19" spans="1:86" x14ac:dyDescent="0.2">
      <c r="C19" s="151"/>
      <c r="D19" s="99"/>
      <c r="E19" s="100"/>
      <c r="G19" s="83" t="s">
        <v>188</v>
      </c>
      <c r="I19" s="2"/>
      <c r="J19" s="158">
        <f>COUNTIF(E52:E300,"&gt;0")</f>
        <v>37</v>
      </c>
      <c r="AD19" s="25"/>
      <c r="AE19" s="260" t="s">
        <v>222</v>
      </c>
      <c r="AF19" s="170"/>
      <c r="AG19" s="149"/>
      <c r="AH19" s="172"/>
      <c r="AI19" s="169" t="s">
        <v>219</v>
      </c>
      <c r="AJ19" s="165">
        <f>D14</f>
        <v>0</v>
      </c>
      <c r="AK19" s="165">
        <f>Input!$L86</f>
        <v>50</v>
      </c>
      <c r="AL19" s="183" t="s">
        <v>218</v>
      </c>
      <c r="AN19" s="70">
        <v>383.75333906111189</v>
      </c>
      <c r="AO19" s="70">
        <v>450</v>
      </c>
      <c r="AP19" s="1">
        <v>0.25</v>
      </c>
      <c r="AQ19" s="70">
        <v>486.49989040417154</v>
      </c>
      <c r="CB19" s="2" t="s">
        <v>10</v>
      </c>
      <c r="CC19" s="2" t="s">
        <v>28</v>
      </c>
      <c r="CD19" s="1">
        <v>10</v>
      </c>
      <c r="CE19" s="1">
        <v>10</v>
      </c>
      <c r="CF19" s="1">
        <v>10</v>
      </c>
      <c r="CG19" s="1"/>
      <c r="CH19" s="1" t="s">
        <v>16</v>
      </c>
    </row>
    <row r="20" spans="1:86" x14ac:dyDescent="0.2">
      <c r="C20" s="151"/>
      <c r="D20" s="99"/>
      <c r="E20" s="100"/>
      <c r="G20" s="83" t="s">
        <v>198</v>
      </c>
      <c r="J20" s="218">
        <f>J$19-SUM(J28:J39)</f>
        <v>30.200000000000003</v>
      </c>
      <c r="AD20" s="25"/>
      <c r="AE20" s="260" t="s">
        <v>161</v>
      </c>
      <c r="AF20" s="170"/>
      <c r="AG20" s="149"/>
      <c r="AH20" s="172"/>
      <c r="AI20" s="169" t="s">
        <v>319</v>
      </c>
      <c r="AJ20" s="173">
        <f>D15</f>
        <v>1</v>
      </c>
      <c r="AK20" s="165">
        <f>Input!$L87</f>
        <v>1</v>
      </c>
      <c r="AL20" s="183" t="s">
        <v>119</v>
      </c>
      <c r="AN20" s="117">
        <v>2.5</v>
      </c>
      <c r="AO20" s="117">
        <v>1</v>
      </c>
      <c r="AP20" s="1">
        <v>1</v>
      </c>
      <c r="AQ20" s="117">
        <v>1.5</v>
      </c>
      <c r="CB20" s="2" t="s">
        <v>106</v>
      </c>
      <c r="CC20" s="2" t="s">
        <v>1</v>
      </c>
      <c r="CD20" s="1">
        <v>10</v>
      </c>
      <c r="CE20" s="1">
        <v>10</v>
      </c>
      <c r="CF20" s="1">
        <v>10</v>
      </c>
      <c r="CG20" s="1"/>
      <c r="CH20" s="1" t="s">
        <v>16</v>
      </c>
    </row>
    <row r="21" spans="1:86" x14ac:dyDescent="0.2">
      <c r="C21" s="151"/>
      <c r="D21" s="99"/>
      <c r="E21" s="100"/>
      <c r="G21" s="83" t="str">
        <f>IF(J12="yes","   Regression ln error", "   Regression error")</f>
        <v xml:space="preserve">   Regression error</v>
      </c>
      <c r="J21" s="156" t="e">
        <f ca="1">SQRT(J$16/J$20)</f>
        <v>#NAME?</v>
      </c>
      <c r="AD21" s="25"/>
      <c r="AE21" s="260" t="s">
        <v>320</v>
      </c>
      <c r="AF21" s="170"/>
      <c r="AG21" s="149"/>
      <c r="AH21" s="172"/>
      <c r="AI21" s="169" t="s">
        <v>322</v>
      </c>
      <c r="AJ21" s="165">
        <f>D13</f>
        <v>0.01</v>
      </c>
      <c r="AK21" s="165">
        <f>Input!$L88</f>
        <v>0</v>
      </c>
      <c r="AL21" s="183" t="s">
        <v>119</v>
      </c>
      <c r="AN21" s="117">
        <v>0.1</v>
      </c>
      <c r="AO21" s="82">
        <v>0.01</v>
      </c>
      <c r="AP21" s="117"/>
      <c r="AQ21" s="82">
        <v>0.01</v>
      </c>
      <c r="CB21" s="2" t="s">
        <v>155</v>
      </c>
      <c r="CC21" s="2" t="s">
        <v>31</v>
      </c>
      <c r="CD21" s="1">
        <v>0.27</v>
      </c>
      <c r="CE21" s="1">
        <v>0.3</v>
      </c>
      <c r="CF21" s="1">
        <v>0.3</v>
      </c>
      <c r="CG21" s="1"/>
      <c r="CH21" s="1" t="s">
        <v>119</v>
      </c>
    </row>
    <row r="22" spans="1:86" ht="14.25" customHeight="1" x14ac:dyDescent="0.2">
      <c r="C22" s="151"/>
      <c r="D22" s="99"/>
      <c r="E22" s="100"/>
      <c r="G22" s="247" t="s">
        <v>346</v>
      </c>
      <c r="J22" s="156" t="e">
        <f ca="1">SUM(M52:M93)/J20</f>
        <v>#NAME?</v>
      </c>
      <c r="K22" s="2"/>
      <c r="N22" s="70"/>
      <c r="O22" s="70"/>
      <c r="AD22" s="25"/>
      <c r="AE22" s="260" t="s">
        <v>220</v>
      </c>
      <c r="AF22" s="170"/>
      <c r="AG22" s="149"/>
      <c r="AH22" s="172"/>
      <c r="AI22" s="169" t="s">
        <v>221</v>
      </c>
      <c r="AJ22" s="165" t="e">
        <f ca="1">O14</f>
        <v>#NAME?</v>
      </c>
      <c r="AK22" s="165">
        <f>Input!$L92</f>
        <v>0</v>
      </c>
      <c r="AL22" s="183" t="s">
        <v>119</v>
      </c>
      <c r="AN22" s="82">
        <v>0.21</v>
      </c>
      <c r="AO22" s="117">
        <v>0.3</v>
      </c>
      <c r="AP22" s="117">
        <v>0.6</v>
      </c>
      <c r="AQ22" s="117">
        <v>0.3</v>
      </c>
      <c r="CB22" s="2" t="s">
        <v>111</v>
      </c>
      <c r="CC22" s="2" t="s">
        <v>110</v>
      </c>
      <c r="CD22" s="1">
        <v>600</v>
      </c>
      <c r="CE22" s="1">
        <v>1000</v>
      </c>
      <c r="CF22" s="1">
        <v>1000</v>
      </c>
      <c r="CG22" s="1"/>
      <c r="CH22" s="1" t="s">
        <v>16</v>
      </c>
    </row>
    <row r="23" spans="1:86" x14ac:dyDescent="0.2">
      <c r="C23" s="151"/>
      <c r="D23" s="99"/>
      <c r="E23" s="100"/>
      <c r="G23" s="236"/>
      <c r="K23" s="2"/>
      <c r="AD23" s="25"/>
      <c r="AE23" s="261" t="s">
        <v>245</v>
      </c>
      <c r="AF23" s="219"/>
      <c r="AG23" s="219"/>
      <c r="AH23" s="237"/>
      <c r="AI23" s="237" t="s">
        <v>246</v>
      </c>
      <c r="AJ23" s="219">
        <f>RADIANS(G39)</f>
        <v>1.7453292519943295E-2</v>
      </c>
      <c r="AK23" s="237"/>
      <c r="AL23" s="238"/>
      <c r="AN23" s="117">
        <v>0</v>
      </c>
      <c r="AO23" s="117">
        <v>1</v>
      </c>
      <c r="AP23" s="117">
        <v>2.5</v>
      </c>
      <c r="AQ23" s="117">
        <v>1</v>
      </c>
      <c r="CB23" s="2" t="s">
        <v>162</v>
      </c>
      <c r="CC23" s="2" t="s">
        <v>96</v>
      </c>
      <c r="CD23" s="1">
        <v>5</v>
      </c>
      <c r="CE23" s="1">
        <v>1</v>
      </c>
      <c r="CF23" s="1">
        <v>1</v>
      </c>
      <c r="CG23" s="1"/>
      <c r="CH23" s="1" t="s">
        <v>119</v>
      </c>
    </row>
    <row r="24" spans="1:86" x14ac:dyDescent="0.2">
      <c r="D24" s="2"/>
      <c r="E24" s="2"/>
      <c r="K24" s="2"/>
      <c r="AD24" s="25"/>
      <c r="AN24" s="71"/>
      <c r="AO24" s="82"/>
      <c r="AQ24" s="82"/>
      <c r="AR24" s="1"/>
      <c r="CB24" s="2" t="s">
        <v>159</v>
      </c>
      <c r="CC24" s="2" t="s">
        <v>175</v>
      </c>
      <c r="CD24" s="1">
        <v>1.25</v>
      </c>
      <c r="CE24" s="1">
        <v>1</v>
      </c>
      <c r="CF24" s="1">
        <v>1</v>
      </c>
      <c r="CG24" s="1"/>
      <c r="CH24" s="1" t="s">
        <v>119</v>
      </c>
    </row>
    <row r="25" spans="1:86" x14ac:dyDescent="0.2">
      <c r="D25" s="2"/>
      <c r="E25" s="2"/>
      <c r="H25" s="73"/>
      <c r="I25" s="2"/>
      <c r="K25" s="2"/>
      <c r="AD25" s="25"/>
      <c r="AN25" s="117"/>
      <c r="AO25" s="117"/>
      <c r="AQ25" s="117"/>
      <c r="CB25" s="2" t="s">
        <v>160</v>
      </c>
      <c r="CC25" s="2" t="s">
        <v>176</v>
      </c>
      <c r="CD25" s="1">
        <v>1</v>
      </c>
      <c r="CE25" s="1">
        <v>1</v>
      </c>
      <c r="CF25" s="1">
        <v>1</v>
      </c>
      <c r="CG25" s="1"/>
      <c r="CH25" s="1" t="s">
        <v>119</v>
      </c>
    </row>
    <row r="26" spans="1:86" x14ac:dyDescent="0.2">
      <c r="B26" s="252" t="s">
        <v>193</v>
      </c>
      <c r="C26" s="32"/>
      <c r="D26" s="32"/>
      <c r="E26" s="74"/>
      <c r="F26" s="74"/>
      <c r="G26" s="74"/>
      <c r="H26" s="74"/>
      <c r="I26" s="32"/>
      <c r="J26" s="74"/>
      <c r="K26" s="32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AD26" s="25"/>
      <c r="AE26" s="25"/>
      <c r="AF26" s="25"/>
      <c r="AG26" s="25"/>
      <c r="AH26" s="9"/>
      <c r="AJ26" s="9"/>
      <c r="AK26" s="9"/>
      <c r="AL26" s="9"/>
    </row>
    <row r="27" spans="1:86" ht="25.5" x14ac:dyDescent="0.2">
      <c r="B27" s="251" t="s">
        <v>98</v>
      </c>
      <c r="C27" s="204" t="s">
        <v>277</v>
      </c>
      <c r="D27" s="74" t="s">
        <v>84</v>
      </c>
      <c r="E27" s="89" t="s">
        <v>332</v>
      </c>
      <c r="F27" s="89" t="s">
        <v>91</v>
      </c>
      <c r="G27" s="89" t="s">
        <v>197</v>
      </c>
      <c r="H27" s="89" t="s">
        <v>278</v>
      </c>
      <c r="I27" s="89" t="s">
        <v>190</v>
      </c>
      <c r="J27" s="159" t="s">
        <v>199</v>
      </c>
      <c r="K27" s="89" t="s">
        <v>331</v>
      </c>
      <c r="L27" s="74" t="str">
        <f>B28</f>
        <v>Jcal</v>
      </c>
      <c r="M27" s="74" t="str">
        <f>B29</f>
        <v>Mcal</v>
      </c>
      <c r="N27" s="74" t="str">
        <f>B30</f>
        <v>b</v>
      </c>
      <c r="O27" s="74" t="str">
        <f>B31</f>
        <v xml:space="preserve">qw </v>
      </c>
      <c r="P27" s="74" t="str">
        <f>B32</f>
        <v xml:space="preserve">R </v>
      </c>
      <c r="Q27" s="74" t="str">
        <f>B33</f>
        <v>AL</v>
      </c>
      <c r="R27" s="74" t="str">
        <f>B34</f>
        <v>AT</v>
      </c>
      <c r="S27" s="74" t="str">
        <f>$B35</f>
        <v>Fbio-pre</v>
      </c>
      <c r="T27" s="74" t="str">
        <f>$B36</f>
        <v>gT1</v>
      </c>
      <c r="U27" s="74" t="str">
        <f>$B37</f>
        <v>gT2</v>
      </c>
      <c r="V27" s="74" t="str">
        <f>$B38</f>
        <v>t0</v>
      </c>
      <c r="W27" s="74" t="str">
        <f>$B39</f>
        <v>Rotate a</v>
      </c>
      <c r="X27" s="74"/>
      <c r="Y27" s="74"/>
      <c r="AA27" s="323" t="s">
        <v>192</v>
      </c>
      <c r="AB27" s="323"/>
      <c r="AJ27" s="1"/>
      <c r="AK27" s="1"/>
      <c r="AL27" s="1"/>
      <c r="AM27" s="1"/>
    </row>
    <row r="28" spans="1:86" ht="15.75" x14ac:dyDescent="0.3">
      <c r="A28" s="82"/>
      <c r="B28" s="124" t="s">
        <v>265</v>
      </c>
      <c r="C28" s="272" t="s">
        <v>211</v>
      </c>
      <c r="D28" s="207">
        <v>0.1</v>
      </c>
      <c r="E28" s="72">
        <v>0.5</v>
      </c>
      <c r="F28" s="164">
        <f t="shared" ref="F28:F39" si="0">IF(C28="",MIN(0.1,MAX(0.01,$J$11*E28/IF(G28=0,1,G28))),EXP($J$11*MIN(K28,E28))-1)</f>
        <v>0.21097181907692453</v>
      </c>
      <c r="G28" s="211">
        <f>IF(C28="",H28,EXP(H28))</f>
        <v>0.10000000000000002</v>
      </c>
      <c r="H28" s="153">
        <v>-2.3025850929940455</v>
      </c>
      <c r="I28" s="163">
        <f>IF(B28="","",IF(C28="",((G28-D28)/E28)^2,((LN(G28)-LN(D28))/E28)^2))</f>
        <v>0</v>
      </c>
      <c r="J28" s="164">
        <f>IF(C28="",1,MIN(1,E28))</f>
        <v>0.5</v>
      </c>
      <c r="K28" s="164">
        <v>0.22421004195369509</v>
      </c>
      <c r="L28" s="153">
        <v>1</v>
      </c>
      <c r="M28" s="152">
        <v>0.29652110044449326</v>
      </c>
      <c r="N28" s="152">
        <v>-0.69703251223935536</v>
      </c>
      <c r="O28" s="152">
        <v>7.2866312143289341E-2</v>
      </c>
      <c r="P28" s="152">
        <v>-2.8267992105094234E-2</v>
      </c>
      <c r="Q28" s="152">
        <v>-8.3029125937816931E-2</v>
      </c>
      <c r="R28" s="152">
        <v>3.5652649989184756E-2</v>
      </c>
      <c r="S28" s="152">
        <v>3.8964082207919911E-3</v>
      </c>
      <c r="T28" s="152">
        <v>0.20178201179285762</v>
      </c>
      <c r="U28" s="152">
        <v>2.3233680837497273E-2</v>
      </c>
      <c r="V28" s="152">
        <v>-0.14177045535828553</v>
      </c>
      <c r="W28" s="152">
        <v>9.4745373475639647E-2</v>
      </c>
      <c r="X28" s="152"/>
      <c r="Y28" s="152"/>
      <c r="AA28" s="83" t="str">
        <f t="shared" ref="AA28:AA38" si="1">B28</f>
        <v>Jcal</v>
      </c>
      <c r="AB28" s="155">
        <f t="shared" ref="AB28:AB38" si="2">IF(B28="","",IF(C28="",D28,LN(D28)))</f>
        <v>-2.3025850929940455</v>
      </c>
      <c r="AC28" s="8"/>
      <c r="AD28" s="207">
        <v>0.12</v>
      </c>
      <c r="AE28" s="72">
        <v>0.25</v>
      </c>
      <c r="AJ28" s="1"/>
      <c r="AK28" s="1"/>
      <c r="AL28" s="1"/>
      <c r="AM28" s="1"/>
    </row>
    <row r="29" spans="1:86" ht="15.75" x14ac:dyDescent="0.3">
      <c r="A29" s="82"/>
      <c r="B29" s="124" t="s">
        <v>266</v>
      </c>
      <c r="C29" s="78" t="s">
        <v>211</v>
      </c>
      <c r="D29" s="210">
        <v>550</v>
      </c>
      <c r="E29" s="72">
        <v>0.5</v>
      </c>
      <c r="F29" s="164">
        <f t="shared" si="0"/>
        <v>0.5196652681130618</v>
      </c>
      <c r="G29" s="212">
        <f t="shared" ref="G29:G38" si="3">IF(C29="",H29,EXP(H29))</f>
        <v>549.99999999999977</v>
      </c>
      <c r="H29" s="153">
        <v>6.3099182782265162</v>
      </c>
      <c r="I29" s="163">
        <f t="shared" ref="I29:I38" si="4">IF(B29="","",IF(C29="",((G29-D29)/E29)^2,((LN(G29)-LN(D29))/E29)^2))</f>
        <v>0</v>
      </c>
      <c r="J29" s="164">
        <f t="shared" ref="J29:J38" si="5">IF(C29="",1,MIN(1,E29))</f>
        <v>0.5</v>
      </c>
      <c r="K29" s="164">
        <v>0.49016882134682732</v>
      </c>
      <c r="L29" s="153">
        <v>0.29652110044449281</v>
      </c>
      <c r="M29" s="152">
        <v>1</v>
      </c>
      <c r="N29" s="152">
        <v>0.12106053826875918</v>
      </c>
      <c r="O29" s="152">
        <v>3.5042653345515158E-2</v>
      </c>
      <c r="P29" s="152">
        <v>2.4388934544715489E-2</v>
      </c>
      <c r="Q29" s="152">
        <v>-1.2490118352415105E-3</v>
      </c>
      <c r="R29" s="152">
        <v>-5.7741040041495066E-3</v>
      </c>
      <c r="S29" s="152">
        <v>-1.458784245109871E-4</v>
      </c>
      <c r="T29" s="152">
        <v>-1.344896491415151E-2</v>
      </c>
      <c r="U29" s="152">
        <v>-8.3746521929847131E-3</v>
      </c>
      <c r="V29" s="152">
        <v>-8.3304118391424001E-2</v>
      </c>
      <c r="W29" s="152">
        <v>-2.9018135278645673E-2</v>
      </c>
      <c r="X29" s="152"/>
      <c r="Y29" s="152"/>
      <c r="AA29" s="83" t="str">
        <f t="shared" si="1"/>
        <v>Mcal</v>
      </c>
      <c r="AB29" s="155">
        <f t="shared" si="2"/>
        <v>6.3099182782265162</v>
      </c>
      <c r="AC29" s="8"/>
      <c r="AD29" s="210">
        <v>550</v>
      </c>
      <c r="AE29" s="72">
        <v>0.5</v>
      </c>
      <c r="AJ29" s="1"/>
      <c r="AL29" s="1"/>
      <c r="AM29" s="1"/>
    </row>
    <row r="30" spans="1:86" x14ac:dyDescent="0.2">
      <c r="A30" s="82"/>
      <c r="B30" s="253" t="s">
        <v>267</v>
      </c>
      <c r="C30" s="99"/>
      <c r="D30" s="220">
        <v>0.75</v>
      </c>
      <c r="E30" s="72">
        <v>0.15</v>
      </c>
      <c r="F30" s="164">
        <f t="shared" si="0"/>
        <v>0.1</v>
      </c>
      <c r="G30" s="213">
        <f t="shared" si="3"/>
        <v>0.75</v>
      </c>
      <c r="H30" s="153">
        <v>0.75</v>
      </c>
      <c r="I30" s="163">
        <f t="shared" si="4"/>
        <v>0</v>
      </c>
      <c r="J30" s="164">
        <f t="shared" si="5"/>
        <v>1</v>
      </c>
      <c r="K30" s="164">
        <v>0.12707838956447012</v>
      </c>
      <c r="L30" s="153">
        <v>-0.69703251223935569</v>
      </c>
      <c r="M30" s="152">
        <v>0.12106053826875873</v>
      </c>
      <c r="N30" s="152">
        <v>1</v>
      </c>
      <c r="O30" s="152">
        <v>-0.20428319701299108</v>
      </c>
      <c r="P30" s="152">
        <v>-0.11315784424673363</v>
      </c>
      <c r="Q30" s="152">
        <v>1.6133483532372327E-2</v>
      </c>
      <c r="R30" s="152">
        <v>3.7164003504601681E-2</v>
      </c>
      <c r="S30" s="152">
        <v>1.4803071227558078E-4</v>
      </c>
      <c r="T30" s="152">
        <v>2.9006864917067225E-2</v>
      </c>
      <c r="U30" s="152">
        <v>4.3639073796617737E-2</v>
      </c>
      <c r="V30" s="152">
        <v>0.46786663045253785</v>
      </c>
      <c r="W30" s="152">
        <v>0.12652091877741417</v>
      </c>
      <c r="X30" s="152"/>
      <c r="Y30" s="152"/>
      <c r="AA30" s="83" t="str">
        <f t="shared" si="1"/>
        <v>b</v>
      </c>
      <c r="AB30" s="155">
        <f t="shared" si="2"/>
        <v>0.75</v>
      </c>
      <c r="AC30" s="8"/>
      <c r="AD30" s="220">
        <v>0.9</v>
      </c>
      <c r="AE30" s="72">
        <v>0.5</v>
      </c>
      <c r="AJ30" s="1"/>
      <c r="AK30" s="1"/>
      <c r="AL30" s="1"/>
      <c r="AM30" s="1"/>
    </row>
    <row r="31" spans="1:86" ht="15.75" x14ac:dyDescent="0.3">
      <c r="A31" s="82"/>
      <c r="B31" s="124" t="s">
        <v>268</v>
      </c>
      <c r="C31" s="272" t="s">
        <v>211</v>
      </c>
      <c r="D31" s="207">
        <v>6.3E-2</v>
      </c>
      <c r="E31" s="72">
        <v>0.25</v>
      </c>
      <c r="F31" s="164">
        <f t="shared" si="0"/>
        <v>0.10372303557127971</v>
      </c>
      <c r="G31" s="211">
        <f t="shared" si="3"/>
        <v>6.3000000000000014E-2</v>
      </c>
      <c r="H31" s="153">
        <v>-2.7646205525906042</v>
      </c>
      <c r="I31" s="163">
        <f t="shared" si="4"/>
        <v>0</v>
      </c>
      <c r="J31" s="164">
        <f t="shared" si="5"/>
        <v>0.25</v>
      </c>
      <c r="K31" s="164">
        <v>0.11559244217686845</v>
      </c>
      <c r="L31" s="153">
        <v>7.28663121432893E-2</v>
      </c>
      <c r="M31" s="152">
        <v>3.5042653345515255E-2</v>
      </c>
      <c r="N31" s="152">
        <v>-0.20428319701299097</v>
      </c>
      <c r="O31" s="152">
        <v>1</v>
      </c>
      <c r="P31" s="152">
        <v>0.79538854043384388</v>
      </c>
      <c r="Q31" s="152">
        <v>-0.28421076823119629</v>
      </c>
      <c r="R31" s="152">
        <v>0.1105233177564648</v>
      </c>
      <c r="S31" s="152">
        <v>-3.5896466742829728E-4</v>
      </c>
      <c r="T31" s="152">
        <v>-3.8744750723580738E-2</v>
      </c>
      <c r="U31" s="152">
        <v>0.34037542829966355</v>
      </c>
      <c r="V31" s="152">
        <v>0.14266141377006505</v>
      </c>
      <c r="W31" s="152">
        <v>0.22040261241094089</v>
      </c>
      <c r="X31" s="152"/>
      <c r="Y31" s="152"/>
      <c r="AA31" s="83" t="str">
        <f t="shared" si="1"/>
        <v xml:space="preserve">qw </v>
      </c>
      <c r="AB31" s="155">
        <f t="shared" si="2"/>
        <v>-2.7646205525906042</v>
      </c>
      <c r="AC31" s="8"/>
      <c r="AD31" s="207">
        <v>6.3E-2</v>
      </c>
      <c r="AE31" s="72">
        <v>0.25</v>
      </c>
      <c r="AJ31" s="1"/>
      <c r="AK31" s="1"/>
      <c r="AL31" s="1"/>
      <c r="AM31" s="1"/>
    </row>
    <row r="32" spans="1:86" x14ac:dyDescent="0.2">
      <c r="A32" s="82"/>
      <c r="B32" s="124" t="s">
        <v>32</v>
      </c>
      <c r="C32" s="99" t="s">
        <v>211</v>
      </c>
      <c r="D32" s="222">
        <v>1.3</v>
      </c>
      <c r="E32" s="72">
        <v>0.25</v>
      </c>
      <c r="F32" s="164">
        <f t="shared" si="0"/>
        <v>0.14247670859973272</v>
      </c>
      <c r="G32" s="213">
        <f t="shared" si="3"/>
        <v>1.3</v>
      </c>
      <c r="H32" s="153">
        <v>0.26236426446749106</v>
      </c>
      <c r="I32" s="163">
        <f t="shared" si="4"/>
        <v>0</v>
      </c>
      <c r="J32" s="164">
        <f t="shared" si="5"/>
        <v>0.25</v>
      </c>
      <c r="K32" s="164">
        <v>0.15601260817018256</v>
      </c>
      <c r="L32" s="153">
        <v>-2.8267992105094297E-2</v>
      </c>
      <c r="M32" s="152">
        <v>2.438893454471561E-2</v>
      </c>
      <c r="N32" s="152">
        <v>-0.11315784424673338</v>
      </c>
      <c r="O32" s="152">
        <v>0.79538854043384366</v>
      </c>
      <c r="P32" s="152">
        <v>0.99999999999999989</v>
      </c>
      <c r="Q32" s="152">
        <v>0.15783301568382124</v>
      </c>
      <c r="R32" s="152">
        <v>-0.19405078922475652</v>
      </c>
      <c r="S32" s="152">
        <v>-1.6341970299834808E-4</v>
      </c>
      <c r="T32" s="152">
        <v>9.3659150376161612E-2</v>
      </c>
      <c r="U32" s="152">
        <v>0.15942877746555612</v>
      </c>
      <c r="V32" s="152">
        <v>3.1878502831716671E-2</v>
      </c>
      <c r="W32" s="152">
        <v>1.599600700640752E-2</v>
      </c>
      <c r="X32" s="152"/>
      <c r="Y32" s="152"/>
      <c r="AA32" s="83" t="str">
        <f t="shared" si="1"/>
        <v xml:space="preserve">R </v>
      </c>
      <c r="AB32" s="155">
        <f t="shared" si="2"/>
        <v>0.26236426446749106</v>
      </c>
      <c r="AC32" s="8"/>
      <c r="AD32" s="207">
        <v>1.25</v>
      </c>
      <c r="AE32" s="72">
        <v>0.25</v>
      </c>
      <c r="AJ32" s="1"/>
      <c r="AK32" s="1"/>
      <c r="AL32" s="1"/>
      <c r="AM32" s="1"/>
    </row>
    <row r="33" spans="1:72" ht="15.75" x14ac:dyDescent="0.3">
      <c r="A33" s="82"/>
      <c r="B33" s="124" t="s">
        <v>269</v>
      </c>
      <c r="C33" s="78" t="s">
        <v>211</v>
      </c>
      <c r="D33" s="207">
        <v>50</v>
      </c>
      <c r="E33" s="72">
        <v>0.5</v>
      </c>
      <c r="F33" s="164">
        <f t="shared" si="0"/>
        <v>0.44026596125263295</v>
      </c>
      <c r="G33" s="248">
        <f t="shared" si="3"/>
        <v>49.999999999999993</v>
      </c>
      <c r="H33" s="153">
        <v>3.912023005428146</v>
      </c>
      <c r="I33" s="163">
        <f t="shared" si="4"/>
        <v>0</v>
      </c>
      <c r="J33" s="164">
        <f t="shared" si="5"/>
        <v>0.5</v>
      </c>
      <c r="K33" s="164">
        <v>0.42731527467971769</v>
      </c>
      <c r="L33" s="153">
        <v>-8.3029125937816972E-2</v>
      </c>
      <c r="M33" s="152">
        <v>-1.2490118352415645E-3</v>
      </c>
      <c r="N33" s="152">
        <v>1.6133483532372345E-2</v>
      </c>
      <c r="O33" s="152">
        <v>-0.28421076823119612</v>
      </c>
      <c r="P33" s="152">
        <v>0.15783301568382141</v>
      </c>
      <c r="Q33" s="152">
        <v>0.99999999999999989</v>
      </c>
      <c r="R33" s="152">
        <v>-0.61339438314307715</v>
      </c>
      <c r="S33" s="152">
        <v>1.4121892979674657E-4</v>
      </c>
      <c r="T33" s="152">
        <v>-2.860562742715592E-2</v>
      </c>
      <c r="U33" s="152">
        <v>2.8396377648091529E-2</v>
      </c>
      <c r="V33" s="152">
        <v>-0.17193767801632545</v>
      </c>
      <c r="W33" s="152">
        <v>-0.37687756164276831</v>
      </c>
      <c r="X33" s="152"/>
      <c r="Y33" s="152"/>
      <c r="AA33" s="83" t="str">
        <f t="shared" si="1"/>
        <v>AL</v>
      </c>
      <c r="AB33" s="155">
        <f t="shared" si="2"/>
        <v>3.912023005428146</v>
      </c>
      <c r="AC33" s="8"/>
      <c r="AD33" s="207">
        <v>50</v>
      </c>
      <c r="AE33" s="72">
        <v>1</v>
      </c>
      <c r="AJ33" s="1"/>
      <c r="AK33" s="1"/>
      <c r="AL33" s="1"/>
      <c r="AM33" s="1"/>
    </row>
    <row r="34" spans="1:72" ht="15.75" x14ac:dyDescent="0.3">
      <c r="A34" s="82"/>
      <c r="B34" s="124" t="s">
        <v>270</v>
      </c>
      <c r="C34" s="78" t="s">
        <v>211</v>
      </c>
      <c r="D34" s="207">
        <v>10</v>
      </c>
      <c r="E34" s="72">
        <v>0.5</v>
      </c>
      <c r="F34" s="164">
        <f t="shared" si="0"/>
        <v>0.15142437509376339</v>
      </c>
      <c r="G34" s="248">
        <f t="shared" si="3"/>
        <v>10.000000000000002</v>
      </c>
      <c r="H34" s="153">
        <v>2.3025850929940459</v>
      </c>
      <c r="I34" s="163">
        <f t="shared" si="4"/>
        <v>0</v>
      </c>
      <c r="J34" s="164">
        <f t="shared" si="5"/>
        <v>0.5</v>
      </c>
      <c r="K34" s="164">
        <v>0.16515011685279068</v>
      </c>
      <c r="L34" s="153">
        <v>3.5652649989184791E-2</v>
      </c>
      <c r="M34" s="152">
        <v>-5.7741040041493705E-3</v>
      </c>
      <c r="N34" s="152">
        <v>3.7164003504601716E-2</v>
      </c>
      <c r="O34" s="152">
        <v>0.11052331775646475</v>
      </c>
      <c r="P34" s="152">
        <v>-0.19405078922475655</v>
      </c>
      <c r="Q34" s="152">
        <v>-0.61339438314307715</v>
      </c>
      <c r="R34" s="152">
        <v>1</v>
      </c>
      <c r="S34" s="152">
        <v>-3.7407243860228929E-5</v>
      </c>
      <c r="T34" s="152">
        <v>0.1520419447259492</v>
      </c>
      <c r="U34" s="152">
        <v>-8.4333454231066626E-2</v>
      </c>
      <c r="V34" s="152">
        <v>-1.1743428176634388E-2</v>
      </c>
      <c r="W34" s="152">
        <v>0.62744789121976174</v>
      </c>
      <c r="X34" s="152"/>
      <c r="Y34" s="152"/>
      <c r="AA34" s="83" t="str">
        <f t="shared" si="1"/>
        <v>AT</v>
      </c>
      <c r="AB34" s="155">
        <f t="shared" si="2"/>
        <v>2.3025850929940459</v>
      </c>
      <c r="AC34" s="8"/>
      <c r="AD34" s="207">
        <v>10</v>
      </c>
      <c r="AE34" s="72">
        <v>1</v>
      </c>
      <c r="AJ34" s="1"/>
      <c r="AK34" s="1"/>
      <c r="AL34" s="1"/>
      <c r="AM34" s="1"/>
    </row>
    <row r="35" spans="1:72" ht="15.75" x14ac:dyDescent="0.3">
      <c r="A35" s="82"/>
      <c r="B35" s="124" t="s">
        <v>310</v>
      </c>
      <c r="C35" s="272" t="s">
        <v>211</v>
      </c>
      <c r="D35" s="207">
        <v>0.01</v>
      </c>
      <c r="E35" s="84">
        <v>0.6</v>
      </c>
      <c r="F35" s="164">
        <f t="shared" si="0"/>
        <v>0.66905747919262692</v>
      </c>
      <c r="G35" s="211">
        <f t="shared" si="3"/>
        <v>1.0000000000000004E-2</v>
      </c>
      <c r="H35" s="153">
        <v>-4.6051701859880909</v>
      </c>
      <c r="I35" s="163">
        <f t="shared" si="4"/>
        <v>0</v>
      </c>
      <c r="J35" s="164">
        <f t="shared" si="5"/>
        <v>0.6</v>
      </c>
      <c r="K35" s="164">
        <v>0.59999850838091162</v>
      </c>
      <c r="L35" s="153">
        <v>3.8964082207919885E-3</v>
      </c>
      <c r="M35" s="152">
        <v>-1.4587842451098691E-4</v>
      </c>
      <c r="N35" s="152">
        <v>1.4803071227558395E-4</v>
      </c>
      <c r="O35" s="152">
        <v>-3.5896466742829988E-4</v>
      </c>
      <c r="P35" s="152">
        <v>-1.6341970299835063E-4</v>
      </c>
      <c r="Q35" s="152">
        <v>1.4121892979674611E-4</v>
      </c>
      <c r="R35" s="152">
        <v>-3.7407243860229091E-5</v>
      </c>
      <c r="S35" s="152">
        <v>1</v>
      </c>
      <c r="T35" s="152">
        <v>-2.0422509558896176E-4</v>
      </c>
      <c r="U35" s="152">
        <v>2.5014790712658898E-5</v>
      </c>
      <c r="V35" s="152">
        <v>7.3375847377634589E-4</v>
      </c>
      <c r="W35" s="152">
        <v>7.4992229452960514E-5</v>
      </c>
      <c r="X35" s="152"/>
      <c r="Y35" s="152"/>
      <c r="AA35" s="83" t="str">
        <f t="shared" si="1"/>
        <v>Fbio-pre</v>
      </c>
      <c r="AB35" s="155">
        <f t="shared" si="2"/>
        <v>-4.6051701859880909</v>
      </c>
      <c r="AC35" s="8"/>
      <c r="AD35" s="207">
        <v>0.02</v>
      </c>
      <c r="AE35" s="84">
        <v>0.25</v>
      </c>
      <c r="AJ35" s="1"/>
      <c r="AK35" s="1"/>
      <c r="AL35" s="1"/>
      <c r="AM35" s="1"/>
    </row>
    <row r="36" spans="1:72" ht="15.75" x14ac:dyDescent="0.3">
      <c r="A36" s="82"/>
      <c r="B36" s="253" t="s">
        <v>271</v>
      </c>
      <c r="C36" s="273" t="s">
        <v>211</v>
      </c>
      <c r="D36" s="207">
        <v>2.5000000000000001E-4</v>
      </c>
      <c r="E36" s="84">
        <v>0.35</v>
      </c>
      <c r="F36" s="164">
        <f t="shared" si="0"/>
        <v>0.33956032578872142</v>
      </c>
      <c r="G36" s="214">
        <f t="shared" si="3"/>
        <v>2.5000000000000001E-4</v>
      </c>
      <c r="H36" s="153">
        <v>-8.2940496401020276</v>
      </c>
      <c r="I36" s="163">
        <f t="shared" si="4"/>
        <v>0</v>
      </c>
      <c r="J36" s="164">
        <f t="shared" si="5"/>
        <v>0.35</v>
      </c>
      <c r="K36" s="164">
        <v>0.34241351036868339</v>
      </c>
      <c r="L36" s="153">
        <v>0.20178201179285762</v>
      </c>
      <c r="M36" s="152">
        <v>-1.3448964914151429E-2</v>
      </c>
      <c r="N36" s="152">
        <v>2.9006864917067336E-2</v>
      </c>
      <c r="O36" s="152">
        <v>-3.8744750723580919E-2</v>
      </c>
      <c r="P36" s="152">
        <v>9.3659150376161404E-2</v>
      </c>
      <c r="Q36" s="152">
        <v>-2.8605627427155979E-2</v>
      </c>
      <c r="R36" s="152">
        <v>0.15204194472594923</v>
      </c>
      <c r="S36" s="152">
        <v>-2.0422509558896214E-4</v>
      </c>
      <c r="T36" s="152">
        <v>1</v>
      </c>
      <c r="U36" s="152">
        <v>5.0986401137749311E-3</v>
      </c>
      <c r="V36" s="152">
        <v>4.5348812035633894E-2</v>
      </c>
      <c r="W36" s="152">
        <v>-8.6387319171723653E-2</v>
      </c>
      <c r="X36" s="152"/>
      <c r="Y36" s="152"/>
      <c r="AA36" s="83" t="str">
        <f t="shared" si="1"/>
        <v>gT1</v>
      </c>
      <c r="AB36" s="155">
        <f t="shared" si="2"/>
        <v>-8.2940496401020276</v>
      </c>
      <c r="AC36" s="8"/>
      <c r="AD36" s="207">
        <v>4.0999999999999999E-4</v>
      </c>
      <c r="AE36" s="84">
        <v>0.5</v>
      </c>
      <c r="AJ36" s="1"/>
      <c r="AK36" s="1"/>
      <c r="AL36" s="1"/>
      <c r="AM36" s="1"/>
    </row>
    <row r="37" spans="1:72" ht="15.75" x14ac:dyDescent="0.3">
      <c r="A37" s="82"/>
      <c r="B37" s="253" t="s">
        <v>272</v>
      </c>
      <c r="C37" s="273" t="s">
        <v>211</v>
      </c>
      <c r="D37" s="207">
        <v>2.5000000000000001E-4</v>
      </c>
      <c r="E37" s="84">
        <v>0.35</v>
      </c>
      <c r="F37" s="164">
        <f t="shared" si="0"/>
        <v>0.33260479968796042</v>
      </c>
      <c r="G37" s="214">
        <f t="shared" si="3"/>
        <v>2.5000000000000001E-4</v>
      </c>
      <c r="H37" s="153">
        <v>-8.2940496401020276</v>
      </c>
      <c r="I37" s="163">
        <f t="shared" si="4"/>
        <v>0</v>
      </c>
      <c r="J37" s="164">
        <f t="shared" si="5"/>
        <v>0.35</v>
      </c>
      <c r="K37" s="164">
        <v>0.3363159210297238</v>
      </c>
      <c r="L37" s="153">
        <v>2.3233680837497345E-2</v>
      </c>
      <c r="M37" s="152">
        <v>-8.3746521929848536E-3</v>
      </c>
      <c r="N37" s="152">
        <v>4.3639073796617571E-2</v>
      </c>
      <c r="O37" s="152">
        <v>0.34037542829966355</v>
      </c>
      <c r="P37" s="152">
        <v>0.15942877746555603</v>
      </c>
      <c r="Q37" s="152">
        <v>2.8396377648091525E-2</v>
      </c>
      <c r="R37" s="152">
        <v>-8.433345423106664E-2</v>
      </c>
      <c r="S37" s="152">
        <v>2.5014790712659734E-5</v>
      </c>
      <c r="T37" s="152">
        <v>5.0986401137749814E-3</v>
      </c>
      <c r="U37" s="152">
        <v>1</v>
      </c>
      <c r="V37" s="152">
        <v>7.9867116652352216E-3</v>
      </c>
      <c r="W37" s="152">
        <v>9.2475813029441779E-3</v>
      </c>
      <c r="X37" s="152"/>
      <c r="Y37" s="152"/>
      <c r="AA37" s="83" t="str">
        <f t="shared" si="1"/>
        <v>gT2</v>
      </c>
      <c r="AB37" s="155">
        <f t="shared" si="2"/>
        <v>-8.2940496401020276</v>
      </c>
      <c r="AC37" s="8"/>
      <c r="AD37" s="207">
        <v>6.4999999999999997E-4</v>
      </c>
      <c r="AE37" s="84">
        <v>0.5</v>
      </c>
      <c r="AJ37" s="1"/>
      <c r="AK37" s="1"/>
      <c r="AL37" s="1"/>
      <c r="AM37" s="1"/>
    </row>
    <row r="38" spans="1:72" ht="15.75" x14ac:dyDescent="0.3">
      <c r="A38" s="82"/>
      <c r="B38" s="83" t="s">
        <v>276</v>
      </c>
      <c r="C38" s="99"/>
      <c r="D38" s="207">
        <v>1965</v>
      </c>
      <c r="E38" s="84">
        <v>5</v>
      </c>
      <c r="F38" s="164">
        <f t="shared" si="0"/>
        <v>0.01</v>
      </c>
      <c r="G38" s="213">
        <f t="shared" si="3"/>
        <v>1965</v>
      </c>
      <c r="H38" s="239">
        <v>1965</v>
      </c>
      <c r="I38" s="163">
        <f t="shared" si="4"/>
        <v>0</v>
      </c>
      <c r="J38" s="164">
        <f t="shared" si="5"/>
        <v>1</v>
      </c>
      <c r="K38" s="164">
        <v>1.3537116739925004</v>
      </c>
      <c r="L38" s="153">
        <v>-0.14177045535828559</v>
      </c>
      <c r="M38" s="152">
        <v>-8.3304118391424348E-2</v>
      </c>
      <c r="N38" s="152">
        <v>0.46786663045253785</v>
      </c>
      <c r="O38" s="152">
        <v>0.14266141377006503</v>
      </c>
      <c r="P38" s="152">
        <v>3.1878502831716574E-2</v>
      </c>
      <c r="Q38" s="152">
        <v>-0.17193767801632556</v>
      </c>
      <c r="R38" s="152">
        <v>-1.1743428176634351E-2</v>
      </c>
      <c r="S38" s="152">
        <v>7.3375847377634535E-4</v>
      </c>
      <c r="T38" s="152">
        <v>4.5348812035633908E-2</v>
      </c>
      <c r="U38" s="152">
        <v>7.9867116652354107E-3</v>
      </c>
      <c r="V38" s="152">
        <v>0.99999999999999989</v>
      </c>
      <c r="W38" s="152">
        <v>9.4132109456019852E-2</v>
      </c>
      <c r="X38" s="152"/>
      <c r="Y38" s="152"/>
      <c r="AA38" s="83" t="str">
        <f t="shared" si="1"/>
        <v>t0</v>
      </c>
      <c r="AB38" s="155">
        <f t="shared" si="2"/>
        <v>1965</v>
      </c>
      <c r="AC38" s="8"/>
      <c r="AD38" s="207">
        <v>1965</v>
      </c>
      <c r="AE38" s="84">
        <v>5</v>
      </c>
      <c r="AJ38" s="1"/>
      <c r="AK38" s="1"/>
      <c r="AL38" s="1"/>
      <c r="AM38" s="1"/>
    </row>
    <row r="39" spans="1:72" x14ac:dyDescent="0.2">
      <c r="A39" s="82"/>
      <c r="B39" s="247" t="s">
        <v>275</v>
      </c>
      <c r="C39" s="272"/>
      <c r="D39" s="222">
        <v>1</v>
      </c>
      <c r="E39" s="84">
        <v>2.5</v>
      </c>
      <c r="F39" s="164">
        <f t="shared" si="0"/>
        <v>0.1</v>
      </c>
      <c r="G39" s="248">
        <f>IF(C39="",H39,EXP(H39))</f>
        <v>1</v>
      </c>
      <c r="H39" s="239">
        <v>1</v>
      </c>
      <c r="I39" s="163">
        <f>IF(B39="","",IF(C39="",((G39-D39)/E39)^2,((LN(G39)-LN(D39))/E39)^2))</f>
        <v>0</v>
      </c>
      <c r="J39" s="164">
        <f>IF(C39="",1,MIN(1,E39))</f>
        <v>1</v>
      </c>
      <c r="K39" s="164">
        <v>1.2387827307948542</v>
      </c>
      <c r="L39" s="153">
        <v>9.4745373475639702E-2</v>
      </c>
      <c r="M39" s="152">
        <v>-2.9018135278645562E-2</v>
      </c>
      <c r="N39" s="152">
        <v>0.12652091877741423</v>
      </c>
      <c r="O39" s="152">
        <v>0.22040261241094092</v>
      </c>
      <c r="P39" s="152">
        <v>1.5996007006407516E-2</v>
      </c>
      <c r="Q39" s="152">
        <v>-0.37687756164276842</v>
      </c>
      <c r="R39" s="152">
        <v>0.62744789121976174</v>
      </c>
      <c r="S39" s="152">
        <v>7.4992229452961544E-5</v>
      </c>
      <c r="T39" s="152">
        <v>-8.6387319171723667E-2</v>
      </c>
      <c r="U39" s="152">
        <v>9.2475813029442803E-3</v>
      </c>
      <c r="V39" s="152">
        <v>9.413210945601988E-2</v>
      </c>
      <c r="W39" s="152">
        <v>1.0000000000000002</v>
      </c>
      <c r="X39" s="152"/>
      <c r="Y39" s="152"/>
      <c r="AA39" s="83" t="str">
        <f t="shared" ref="AA39" si="6">B39</f>
        <v>Rotate a</v>
      </c>
      <c r="AB39" s="155">
        <f t="shared" ref="AB39" si="7">IF(B39="","",IF(C39="",D39,LN(D39)))</f>
        <v>1</v>
      </c>
      <c r="AC39" s="8"/>
      <c r="AD39" s="285">
        <v>1</v>
      </c>
      <c r="AE39" s="84">
        <v>2.5</v>
      </c>
      <c r="AJ39" s="1"/>
      <c r="AK39" s="1"/>
      <c r="AL39" s="1"/>
      <c r="AM39" s="1"/>
    </row>
    <row r="40" spans="1:72" x14ac:dyDescent="0.2">
      <c r="A40" s="82"/>
      <c r="C40" s="272"/>
      <c r="D40" s="210"/>
      <c r="E40" s="84"/>
      <c r="F40" s="152"/>
      <c r="G40" s="212"/>
      <c r="H40" s="239"/>
      <c r="I40" s="163"/>
      <c r="J40" s="164"/>
      <c r="K40" s="164"/>
      <c r="L40" s="153"/>
      <c r="M40" s="152"/>
      <c r="N40" s="152"/>
      <c r="O40" s="152"/>
      <c r="P40" s="152"/>
      <c r="Q40" s="152"/>
      <c r="R40" s="152"/>
      <c r="S40" s="152"/>
      <c r="T40" s="152"/>
      <c r="U40" s="152"/>
      <c r="V40" s="152"/>
      <c r="W40" s="152"/>
      <c r="X40" s="152"/>
      <c r="Y40" s="152"/>
      <c r="AA40" s="83"/>
      <c r="AB40" s="155"/>
      <c r="AC40" s="8"/>
      <c r="AD40" s="222"/>
      <c r="AE40" s="84"/>
      <c r="AJ40" s="1"/>
      <c r="AK40" s="1"/>
      <c r="AL40" s="1"/>
      <c r="AM40" s="1"/>
    </row>
    <row r="41" spans="1:72" x14ac:dyDescent="0.2">
      <c r="A41" s="82"/>
      <c r="C41" s="272"/>
      <c r="D41" s="210"/>
      <c r="E41" s="84"/>
      <c r="F41" s="152"/>
      <c r="G41" s="212"/>
      <c r="H41" s="239"/>
      <c r="I41" s="163" t="str">
        <f>IF(B41="","",IF(C41="",((G41-D41)/E41)^2,((LN(G41)-LN(D41))/E41)^2))</f>
        <v/>
      </c>
      <c r="J41" s="164"/>
      <c r="K41" s="164"/>
      <c r="L41" s="153"/>
      <c r="M41" s="152"/>
      <c r="N41" s="152"/>
      <c r="O41" s="152"/>
      <c r="P41" s="152"/>
      <c r="Q41" s="152"/>
      <c r="R41" s="152"/>
      <c r="S41" s="152"/>
      <c r="T41" s="152"/>
      <c r="U41" s="152"/>
      <c r="V41" s="152"/>
      <c r="W41" s="152"/>
      <c r="X41" s="152"/>
      <c r="Y41" s="152"/>
      <c r="AA41" s="83"/>
      <c r="AB41" s="155"/>
      <c r="AC41" s="8"/>
      <c r="AD41" s="222"/>
      <c r="AE41" s="84"/>
      <c r="AJ41" s="1"/>
      <c r="AK41" s="1"/>
      <c r="AL41" s="1"/>
      <c r="AM41" s="1"/>
    </row>
    <row r="42" spans="1:72" x14ac:dyDescent="0.2">
      <c r="A42" s="1"/>
      <c r="D42" s="2"/>
      <c r="E42" s="2"/>
      <c r="F42" s="2"/>
      <c r="G42" s="2"/>
      <c r="H42" s="2"/>
      <c r="I42" s="2"/>
      <c r="J42" s="71"/>
      <c r="K42" s="73"/>
      <c r="L42" s="71"/>
      <c r="M42" s="71"/>
      <c r="N42" s="71"/>
      <c r="O42" s="97"/>
      <c r="P42" s="71"/>
      <c r="Q42" s="71"/>
      <c r="R42" s="71"/>
      <c r="Y42" s="101"/>
      <c r="Z42" s="92"/>
      <c r="AC42" s="8"/>
    </row>
    <row r="43" spans="1:72" x14ac:dyDescent="0.2">
      <c r="D43" s="2"/>
      <c r="E43" s="2"/>
      <c r="F43" s="2"/>
      <c r="G43" s="2"/>
      <c r="H43" s="2"/>
      <c r="K43" s="2"/>
      <c r="L43" s="81"/>
      <c r="M43" s="93"/>
      <c r="N43" s="93"/>
      <c r="O43" s="95"/>
      <c r="P43" s="93"/>
      <c r="Q43" s="93"/>
      <c r="R43" s="93"/>
      <c r="S43" s="93"/>
      <c r="T43" s="93"/>
      <c r="Y43" s="91"/>
      <c r="Z43" s="91"/>
      <c r="AC43" s="8"/>
    </row>
    <row r="44" spans="1:72" x14ac:dyDescent="0.2">
      <c r="D44" s="2"/>
      <c r="E44" s="2"/>
      <c r="F44" s="2"/>
      <c r="G44" s="2"/>
      <c r="H44" s="2"/>
      <c r="I44" s="2"/>
      <c r="J44" s="2"/>
      <c r="K44" s="2"/>
      <c r="L44" s="81"/>
      <c r="M44" s="93"/>
      <c r="N44" s="93"/>
      <c r="O44" s="95"/>
      <c r="P44" s="93"/>
      <c r="Q44" s="93"/>
      <c r="R44" s="93"/>
      <c r="S44" s="93"/>
      <c r="T44" s="93"/>
      <c r="Y44" s="91"/>
      <c r="Z44" s="91"/>
      <c r="AC44" s="8"/>
    </row>
    <row r="45" spans="1:72" x14ac:dyDescent="0.2">
      <c r="D45" s="2"/>
      <c r="E45" s="2"/>
      <c r="F45" s="2"/>
      <c r="G45" s="2"/>
      <c r="H45" s="2"/>
      <c r="I45" s="2"/>
      <c r="J45" s="2"/>
      <c r="K45" s="2"/>
      <c r="M45" s="93"/>
      <c r="N45" s="93"/>
      <c r="O45" s="95"/>
      <c r="P45" s="93"/>
      <c r="Q45" s="93"/>
      <c r="R45" s="93"/>
      <c r="S45" s="93"/>
      <c r="T45" s="93"/>
      <c r="Y45" s="91"/>
      <c r="Z45" s="91"/>
      <c r="AC45" s="8"/>
    </row>
    <row r="46" spans="1:72" x14ac:dyDescent="0.2">
      <c r="D46" s="2"/>
      <c r="E46" s="2"/>
      <c r="F46" s="2"/>
      <c r="G46" s="2"/>
      <c r="H46" s="2"/>
      <c r="I46" s="2"/>
      <c r="J46" s="2"/>
      <c r="K46" s="2"/>
      <c r="M46" s="93"/>
      <c r="N46" s="93"/>
      <c r="O46" s="95"/>
      <c r="P46" s="93"/>
      <c r="Q46" s="93"/>
      <c r="R46" s="93"/>
      <c r="S46" s="93"/>
      <c r="T46" s="93"/>
      <c r="Y46" s="91"/>
      <c r="Z46" s="91"/>
      <c r="AC46" s="8"/>
    </row>
    <row r="47" spans="1:72" x14ac:dyDescent="0.2">
      <c r="D47" s="2"/>
      <c r="F47" s="2"/>
      <c r="L47" s="2"/>
      <c r="N47" s="93"/>
      <c r="O47" s="93"/>
      <c r="P47" s="95"/>
      <c r="Q47" s="93"/>
      <c r="R47" s="93"/>
      <c r="S47" s="93"/>
      <c r="T47" s="93"/>
      <c r="U47" s="93"/>
      <c r="Z47" s="91"/>
      <c r="AA47" s="91"/>
      <c r="AD47" s="8"/>
      <c r="AO47" s="2"/>
      <c r="AR47" s="1"/>
      <c r="BA47" s="74" t="s">
        <v>257</v>
      </c>
      <c r="BB47" s="74"/>
      <c r="BC47" s="74"/>
      <c r="BD47" s="74"/>
      <c r="BE47" s="74"/>
      <c r="BF47" s="74"/>
      <c r="BG47" s="74"/>
      <c r="BO47" s="2"/>
      <c r="BT47" s="1"/>
    </row>
    <row r="48" spans="1:72" x14ac:dyDescent="0.2">
      <c r="D48" s="2"/>
      <c r="AI48" s="80" t="s">
        <v>212</v>
      </c>
      <c r="AJ48" s="2" t="s">
        <v>178</v>
      </c>
      <c r="AK48" s="1">
        <v>5</v>
      </c>
      <c r="AL48" s="1">
        <v>6</v>
      </c>
      <c r="AM48" s="1">
        <v>7</v>
      </c>
      <c r="AN48" s="1">
        <v>8</v>
      </c>
      <c r="AO48" s="1">
        <v>10</v>
      </c>
      <c r="AP48" s="1">
        <v>16</v>
      </c>
      <c r="AQ48" s="1">
        <v>18</v>
      </c>
      <c r="AR48" s="1">
        <v>19</v>
      </c>
      <c r="AS48" s="1">
        <v>21</v>
      </c>
      <c r="AT48" s="1">
        <v>22</v>
      </c>
      <c r="AU48" s="1">
        <v>23</v>
      </c>
      <c r="AV48" s="1"/>
      <c r="BA48" s="1" t="s">
        <v>251</v>
      </c>
      <c r="BB48" s="1"/>
      <c r="BC48" s="1"/>
      <c r="BD48" s="1" t="s">
        <v>250</v>
      </c>
      <c r="BE48" s="1"/>
      <c r="BF48" s="1"/>
      <c r="BG48" s="1" t="s">
        <v>249</v>
      </c>
      <c r="BT48" s="1"/>
    </row>
    <row r="49" spans="1:82" x14ac:dyDescent="0.2">
      <c r="B49" s="251" t="s">
        <v>194</v>
      </c>
      <c r="C49" s="32"/>
      <c r="D49" s="32"/>
      <c r="E49" s="32"/>
      <c r="F49" s="74"/>
      <c r="G49" s="74"/>
      <c r="H49" s="74"/>
      <c r="I49" s="74"/>
      <c r="J49" s="32"/>
      <c r="K49" s="74"/>
      <c r="L49" s="32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206"/>
      <c r="AB49" s="74"/>
      <c r="AC49" s="74"/>
      <c r="AD49" s="74"/>
      <c r="AE49" s="74"/>
      <c r="AF49" s="74"/>
      <c r="AG49" s="74"/>
      <c r="AK49" s="146" t="s">
        <v>180</v>
      </c>
      <c r="AO49" s="2"/>
      <c r="AR49" s="1"/>
      <c r="BA49" s="70">
        <f>AVERAGE(C52:C93)</f>
        <v>1999.2142857142858</v>
      </c>
      <c r="BB49" s="70">
        <f>AVERAGE(D52:D93)</f>
        <v>1417.8571428571429</v>
      </c>
      <c r="BC49" s="70">
        <f>AVERAGE(E52:E93)</f>
        <v>179.16666666666666</v>
      </c>
      <c r="BD49" s="93">
        <f>SUM(BD52:BD101)</f>
        <v>4841.4387755101889</v>
      </c>
      <c r="BE49" s="93">
        <f>SUM(BE52:BE101)</f>
        <v>71727372.448979601</v>
      </c>
      <c r="BF49" s="93">
        <f>SUM(BF52:BF101)</f>
        <v>1350184.7222222222</v>
      </c>
      <c r="BG49" s="70">
        <f>COUNT(C52:C93)</f>
        <v>42</v>
      </c>
      <c r="BK49" s="1"/>
      <c r="BL49" s="1"/>
      <c r="BM49" s="1"/>
      <c r="BN49" s="1" t="s">
        <v>307</v>
      </c>
      <c r="BO49" s="82">
        <f ca="1">SQRT(AVERAGE(BO52:BO200))</f>
        <v>0.39441659221282066</v>
      </c>
      <c r="BT49" s="1"/>
    </row>
    <row r="50" spans="1:82" x14ac:dyDescent="0.2">
      <c r="D50" s="2"/>
      <c r="AI50" s="80" t="s">
        <v>213</v>
      </c>
      <c r="AJ50" s="2" t="s">
        <v>178</v>
      </c>
      <c r="AK50" s="1" t="str">
        <f>$B7</f>
        <v>Ly</v>
      </c>
      <c r="AL50" s="1" t="str">
        <f>$B8</f>
        <v>Lz</v>
      </c>
      <c r="AM50" s="1" t="str">
        <f>$B9</f>
        <v>tcal</v>
      </c>
      <c r="AN50" s="1" t="str">
        <f>$B10</f>
        <v>f</v>
      </c>
      <c r="AO50" s="1" t="str">
        <f>$B11</f>
        <v>L12</v>
      </c>
      <c r="AP50" s="1" t="str">
        <f>$B12</f>
        <v>trem</v>
      </c>
      <c r="AQ50" s="1" t="str">
        <f>$B13</f>
        <v>Fbio-post</v>
      </c>
      <c r="AR50" s="1" t="str">
        <f>$B14</f>
        <v>DMrem</v>
      </c>
      <c r="AS50" s="1" t="str">
        <f>$B15</f>
        <v>fmt</v>
      </c>
      <c r="AV50" s="1"/>
      <c r="AW50" s="71"/>
      <c r="AX50" s="1"/>
      <c r="BK50" s="1"/>
      <c r="BL50" s="1"/>
      <c r="BM50" s="1"/>
      <c r="BN50" s="1"/>
      <c r="BT50" s="1"/>
    </row>
    <row r="51" spans="1:82" ht="25.5" x14ac:dyDescent="0.2">
      <c r="A51" s="1"/>
      <c r="B51" s="251" t="s">
        <v>98</v>
      </c>
      <c r="C51" s="74" t="s">
        <v>85</v>
      </c>
      <c r="D51" s="74" t="s">
        <v>81</v>
      </c>
      <c r="E51" s="74" t="s">
        <v>82</v>
      </c>
      <c r="F51" s="74" t="s">
        <v>344</v>
      </c>
      <c r="G51" s="74" t="s">
        <v>248</v>
      </c>
      <c r="H51" s="205" t="s">
        <v>247</v>
      </c>
      <c r="I51" s="274" t="s">
        <v>335</v>
      </c>
      <c r="J51" s="74" t="s">
        <v>83</v>
      </c>
      <c r="K51" s="74" t="str">
        <f>IF(J$8="yes","ln model", "model")</f>
        <v>ln model</v>
      </c>
      <c r="L51" s="74" t="str">
        <f>IF(J$8="yes","S2 ln y(p)", "S2y(p)")</f>
        <v>S2 ln y(p)</v>
      </c>
      <c r="M51" s="74" t="s">
        <v>87</v>
      </c>
      <c r="N51" s="74" t="str">
        <f>IF(J$8="yes","S ln y(pfix)", "Sy(pfix)")</f>
        <v>S ln y(pfix)</v>
      </c>
      <c r="O51" s="74" t="str">
        <f>IF(J$8="yes","S ln y(T)", "Sy(T)")</f>
        <v>S ln y(T)</v>
      </c>
      <c r="P51" s="74" t="s">
        <v>88</v>
      </c>
      <c r="Q51" s="74" t="s">
        <v>89</v>
      </c>
      <c r="R51" s="74" t="s">
        <v>90</v>
      </c>
      <c r="S51" s="74" t="s">
        <v>177</v>
      </c>
      <c r="T51" s="74" t="str">
        <f t="shared" ref="T51:AG51" si="8">L27</f>
        <v>Jcal</v>
      </c>
      <c r="U51" s="74" t="str">
        <f t="shared" si="8"/>
        <v>Mcal</v>
      </c>
      <c r="V51" s="74" t="str">
        <f t="shared" si="8"/>
        <v>b</v>
      </c>
      <c r="W51" s="74" t="str">
        <f t="shared" si="8"/>
        <v xml:space="preserve">qw </v>
      </c>
      <c r="X51" s="74" t="str">
        <f t="shared" si="8"/>
        <v xml:space="preserve">R </v>
      </c>
      <c r="Y51" s="74" t="str">
        <f t="shared" si="8"/>
        <v>AL</v>
      </c>
      <c r="Z51" s="74" t="str">
        <f t="shared" si="8"/>
        <v>AT</v>
      </c>
      <c r="AA51" s="74" t="str">
        <f t="shared" si="8"/>
        <v>Fbio-pre</v>
      </c>
      <c r="AB51" s="74" t="str">
        <f t="shared" si="8"/>
        <v>gT1</v>
      </c>
      <c r="AC51" s="74" t="str">
        <f t="shared" si="8"/>
        <v>gT2</v>
      </c>
      <c r="AD51" s="74" t="str">
        <f t="shared" si="8"/>
        <v>t0</v>
      </c>
      <c r="AE51" s="74" t="str">
        <f t="shared" si="8"/>
        <v>Rotate a</v>
      </c>
      <c r="AF51" s="74">
        <f t="shared" si="8"/>
        <v>0</v>
      </c>
      <c r="AG51" s="74">
        <f t="shared" si="8"/>
        <v>0</v>
      </c>
      <c r="AI51" s="80" t="s">
        <v>179</v>
      </c>
      <c r="AJ51" s="2" t="s">
        <v>178</v>
      </c>
      <c r="AK51" s="147">
        <f>EXP(LN($D7)+$E7)</f>
        <v>19.999999999999996</v>
      </c>
      <c r="AL51" s="147">
        <f>EXP(LN($D8)+$E8)</f>
        <v>10.000000000000002</v>
      </c>
      <c r="AM51" s="147">
        <f>EXP(LN($D9)+$E9)</f>
        <v>2010.0090043347507</v>
      </c>
      <c r="AN51" s="147">
        <f>EXP(LN($D10)+$E10)</f>
        <v>0.3</v>
      </c>
      <c r="AO51" s="147">
        <f>EXP(LN($D11)+$E11)</f>
        <v>999.99999999999977</v>
      </c>
      <c r="AP51" s="147">
        <f>EXP(LN($D12)+$E12)</f>
        <v>2010.0000000000005</v>
      </c>
      <c r="AQ51" s="147">
        <f>EXP(LN(MAX(0.001,$D13))+$E13)</f>
        <v>1.6487212707001288E-2</v>
      </c>
      <c r="AR51" s="147">
        <f>EXP(LN(MAX(0.001,$D14))+$E14)</f>
        <v>1.6487212707001285E-3</v>
      </c>
      <c r="AS51" s="147">
        <f>EXP(LN(MAX(0.001,$D15))+$E15)</f>
        <v>1.3498588075760032</v>
      </c>
      <c r="AV51" s="147"/>
      <c r="AW51" s="82"/>
      <c r="AX51" s="82"/>
      <c r="AY51" s="1" t="s">
        <v>181</v>
      </c>
      <c r="BA51" s="1" t="s">
        <v>253</v>
      </c>
      <c r="BB51" s="1" t="s">
        <v>211</v>
      </c>
      <c r="BC51" s="1" t="s">
        <v>244</v>
      </c>
      <c r="BD51" s="1" t="s">
        <v>254</v>
      </c>
      <c r="BE51" s="1" t="s">
        <v>255</v>
      </c>
      <c r="BF51" s="1" t="s">
        <v>256</v>
      </c>
      <c r="BG51" s="223" t="s">
        <v>252</v>
      </c>
      <c r="BK51" s="1" t="s">
        <v>216</v>
      </c>
      <c r="BL51" s="223" t="s">
        <v>303</v>
      </c>
      <c r="BM51" s="1" t="s">
        <v>304</v>
      </c>
      <c r="BN51" s="257" t="s">
        <v>305</v>
      </c>
      <c r="BO51" s="1" t="s">
        <v>306</v>
      </c>
      <c r="BT51" s="1"/>
    </row>
    <row r="52" spans="1:82" x14ac:dyDescent="0.2">
      <c r="B52" s="275" t="s">
        <v>287</v>
      </c>
      <c r="C52" s="209">
        <v>1985</v>
      </c>
      <c r="D52" s="86">
        <v>250</v>
      </c>
      <c r="E52" s="86">
        <v>0</v>
      </c>
      <c r="F52" s="139">
        <v>1</v>
      </c>
      <c r="G52" s="87">
        <v>6717.7279520550865</v>
      </c>
      <c r="H52" s="208" t="e">
        <f ca="1">MAX(I52/10,Cnapl($AJ$2,$AJ$3,$AJ$4,$AJ$5,$AJ$6,$AJ$7,$AJ$8,$AJ$9,$AJ$10,$AJ$11,$AJ$12,$AJ$13,$AJ$14,$AJ$15,$AJ$16,$AJ$17,$AJ$18,$AJ$19,$AJ$20,$AJ$21, D52*COS($AJ$23)-E52*SIN($AJ$23), D52*SIN($AJ$23)+E52*COS($AJ$23), C52,0))</f>
        <v>#NAME?</v>
      </c>
      <c r="I52" s="138">
        <v>0.1</v>
      </c>
      <c r="J52" s="166" t="e">
        <f ca="1">IF(J$8="yes",(LN(MAX(I52,H52))-LN(MAX(I52,G52)))^2,(MAX(I52,H53)-MAX(I52,G53))^2)/F52/F52</f>
        <v>#NAME?</v>
      </c>
      <c r="K52" s="167" t="e">
        <f t="shared" ref="K52:K94" ca="1" si="9">IF(D52="","",IF(J$8="yes",LN(H52),H52))</f>
        <v>#NAME?</v>
      </c>
      <c r="L52" s="160">
        <v>9.5689668306837727E-2</v>
      </c>
      <c r="M52" s="167" t="e">
        <f ca="1">IF(F52&lt;9990,J52*F52*F52,0)</f>
        <v>#NAME?</v>
      </c>
      <c r="N52" s="167" t="e">
        <f t="shared" ref="N52:N94" ca="1" si="10">IF(H52&lt;I52,0,IF(J$8="yes",SQRT(AY52),SQRT(H52*(EXP(AY52)-1))))</f>
        <v>#NAME?</v>
      </c>
      <c r="O52" s="164" t="e">
        <f t="shared" ref="O52:O94" ca="1" si="11">SQRT(L52)+N52+BG52*J$21</f>
        <v>#NAME?</v>
      </c>
      <c r="P52" s="221" t="e">
        <f t="shared" ref="P52:P83" ca="1" si="12">MAX(IF(J$8="no",H52-J$11*O52,EXP(LN(H52)-J$11*O52)),I52)</f>
        <v>#NAME?</v>
      </c>
      <c r="Q52" s="221" t="e">
        <f t="shared" ref="Q52:Q83" ca="1" si="13">IF(H52&lt;I52/1000,H52,IF(J$8="no",H52+J$11*O52,EXP(LN(H52)+J$11*O52)))</f>
        <v>#NAME?</v>
      </c>
      <c r="R52" s="221" t="e">
        <f t="shared" ref="R52:R94" ca="1" si="14">Q52-H52</f>
        <v>#NAME?</v>
      </c>
      <c r="S52" s="221" t="e">
        <f t="shared" ref="S52:S94" ca="1" si="15">H52-P52</f>
        <v>#NAME?</v>
      </c>
      <c r="T52" s="161">
        <v>2.2011789923685368</v>
      </c>
      <c r="U52" s="161">
        <v>-0.49943885987529546</v>
      </c>
      <c r="V52" s="161">
        <v>3.9979601861868388</v>
      </c>
      <c r="W52" s="161">
        <v>-0.76279949313778428</v>
      </c>
      <c r="X52" s="161">
        <v>0.1729407845734913</v>
      </c>
      <c r="Y52" s="161">
        <v>-0.1271983309702856</v>
      </c>
      <c r="Z52" s="161">
        <v>-0.52858377107420296</v>
      </c>
      <c r="AA52" s="161">
        <v>-3.1055486355181117E-3</v>
      </c>
      <c r="AB52" s="154">
        <v>-0.14145468619804846</v>
      </c>
      <c r="AC52" s="154">
        <v>0</v>
      </c>
      <c r="AD52" s="154">
        <v>-5.042235593197246E-2</v>
      </c>
      <c r="AE52" s="154">
        <v>-4.727577076674731E-3</v>
      </c>
      <c r="AF52" s="152">
        <v>-1.353973415772599E-4</v>
      </c>
      <c r="AG52" s="161">
        <v>-1.3624956283873549E-4</v>
      </c>
      <c r="AH52" s="90"/>
      <c r="AK52" s="244" t="e">
        <f ca="1">(LN(H52)-LN(Cnapl($AJ$2,$AJ$3,$AJ$4,$AK$51,$AJ$6,$AJ$7,$AJ$8,$AJ$9,$AJ$10,$AJ$11,$AJ$12,$AJ$13,$AJ$14,$AJ$15,$AJ$16,$AJ$17,$AJ$18,$AJ$19,$AJ$20,$AJ$21,#REF!,#REF!, D52, E52, C52,0)*1000000))^2</f>
        <v>#NAME?</v>
      </c>
      <c r="AL52" s="244" t="e">
        <f ca="1">-(LN(H52)-LN(Cnapl($AJ$2,$AJ$3,$AJ$4,$AJ$5,$AL$51,$AJ$7,$AJ$8,$AJ$9,$AJ$10,$AJ$11,$AJ$12,$AJ$13,$AJ$14,$AJ$15,$AJ$16,$AJ$17,$AJ$18,$AJ$19,$AJ$20,$AJ$21,#REF!,#REF!, D52, E52, C52,0)*1000000))^2</f>
        <v>#NAME?</v>
      </c>
      <c r="AM52" s="244" t="e">
        <f ca="1">(LN(H52)-LN(Cnapl($AJ$2,$AJ$3,$AJ$4,$AJ$5,$AJ$6,$AJ$7,$AM$51,$AJ$9,$AJ$10,$AJ$11,$AJ$12,$AJ$13,$AJ$14,$AJ$15,$AJ$16,$AJ$17,$AJ$18,$AJ$19,$AJ$20,$AJ$21,#REF!,#REF!, D52, E52, C52,0)*1000000))^2</f>
        <v>#NAME?</v>
      </c>
      <c r="AN52" s="244" t="e">
        <f ca="1">(LN(H52)-LN(Cnapl($AJ$2,$AJ$3,$AJ$4,$AJ$5,$AJ$6,$AJ$7,$AJ$8,$AJ$9,$AN$51,$AJ$11,$AJ$12,$AJ$13,$AJ$14,$AJ$15,$AJ$16,$AJ$17,$AJ$18,$AJ$19,$AJ$20,$AJ$21,#REF!,#REF!, D52, E52, C52,0)*1000000))^2</f>
        <v>#NAME?</v>
      </c>
      <c r="AO52" s="244" t="e">
        <f ca="1">(LN(H52)-LN(Cnapl($AJ$2,$AJ$3,$AJ$4,$AJ$5,$AJ$6,$AJ$7,$AJ$8,$AJ$9,$AJ$10,$AJ$11,$AJ$12,$AJ$13,$AJ$14,$AJ$15,$AO$51,$AJ$17,$AJ$18,$AJ$19,$AJ$20,$AJ$21,#REF!,#REF!, D52, E52, C52,0)*1000000))^2</f>
        <v>#NAME?</v>
      </c>
      <c r="AP52" s="244" t="e">
        <f ca="1">(LN(H52)-LN(Cnapl($AJ$2,$AJ$3,$AJ$4,$AJ$5,$AJ$6,$AJ$7,$AJ$8,$AJ$9,$AJ$10,$AJ$11,$AJ$12,$AJ$13,$AJ$14,$AJ$15,$AJ$16,$AJ$17,$AP$51,$AJ$19,$AJ$20,$AJ$21,#REF!,#REF!, D52, E52, C52,0)*1000000))^2</f>
        <v>#NAME?</v>
      </c>
      <c r="AQ52" s="244" t="e">
        <f ca="1">(LN(H52)-LN(Cnapl($AJ$2,$AJ$3,$AJ$4,$AJ$5,$AJ$6,$AJ$7,$AJ$8,$AJ$9,$AJ$10,$AJ$11,$AJ$12,$AJ$13,$AJ$14,$AJ$15,$AJ$16,$AJ$17,$AJ$18,$AJ$19,$AJ$20,$AQ$51,#REF!,#REF!, D52, E52, C52,0)*1000000))^2</f>
        <v>#NAME?</v>
      </c>
      <c r="AR52" s="244" t="e">
        <f ca="1">(LN(H52)-LN(Cnapl($AJ$2,$AJ$3,$AJ$4,$AJ$5,$AJ$6,$AJ$7,$AJ$8,$AJ$9,$AJ$10,$AJ$11,$AJ$12,$AJ$13,$AJ$14,$AJ$15,$AJ$16,$AJ$17,$AJ$18,$AJ$19,$AJ$20,$AJ$21,$AR$51,#REF!, D52, E52, C52,0)*1000000))^2</f>
        <v>#NAME?</v>
      </c>
      <c r="AS52" s="244" t="e">
        <f ca="1">(LN(H52)-LN(Cnapl($AJ$2,$AJ$3,$AJ$4,$AJ$5,$AJ$6,$AJ$7,$AJ$8,$AJ$9,$AJ$10,$AJ$11,$AJ$12,$AJ$13,$AJ$14,$AJ$15,$AJ$16,$AJ$17,$AJ$18,$AJ$19,$AJ$20,$AJ$21,#REF!,$AS$51, D52, E52, C52,0)*1000000))^2</f>
        <v>#NAME?</v>
      </c>
      <c r="AT52" s="245"/>
      <c r="AU52" s="245"/>
      <c r="AV52" s="245"/>
      <c r="AW52" s="241"/>
      <c r="AX52" s="241"/>
      <c r="AY52" s="243"/>
      <c r="BA52" s="240">
        <f>IF($F52&lt;9990,C52,"")</f>
        <v>1985</v>
      </c>
      <c r="BB52" s="240">
        <f>IF($F52&lt;9990,D52,"")</f>
        <v>250</v>
      </c>
      <c r="BC52" s="240">
        <f t="shared" ref="BC52:BC83" si="16">IF($F52&gt;0,E52,"")</f>
        <v>0</v>
      </c>
      <c r="BD52" s="242">
        <f>(BA52-BA$49)^2</f>
        <v>202.04591836734878</v>
      </c>
      <c r="BE52" s="242">
        <f t="shared" ref="BE52:BE83" si="17">(D52-BB$49)^2</f>
        <v>1363890.306122449</v>
      </c>
      <c r="BF52" s="242">
        <f t="shared" ref="BF52:BF83" si="18">(E52-BC$49)^2</f>
        <v>32100.694444444442</v>
      </c>
      <c r="BG52" s="243">
        <f t="shared" ref="BG52:BG83" si="19">IF(C52="","",SQRT(1+1/BG$49+(C52-BA$49)^2/BD$49+(D52-BB$49)^2/BE$49+(E52-BC$49)^2/BF$49))</f>
        <v>1.0527735285031237</v>
      </c>
      <c r="BK52" s="215">
        <v>3318.7396840166753</v>
      </c>
      <c r="BL52" s="216">
        <f t="shared" ref="BL52:BL93" ca="1" si="20">1.5*RAND()-0.75</f>
        <v>-0.12872833035222353</v>
      </c>
      <c r="BM52" s="71">
        <f t="shared" ref="BM52:BM93" ca="1" si="21">EXP(BL52)</f>
        <v>0.87921278853221707</v>
      </c>
      <c r="BN52" s="215">
        <f t="shared" ref="BN52:BN93" ca="1" si="22">BK52*BM52</f>
        <v>2917.8783719968301</v>
      </c>
      <c r="BO52" s="71">
        <f t="shared" ref="BO52:BO93" ca="1" si="23">(LN(BN52/BK52))^2</f>
        <v>1.6570983035271207E-2</v>
      </c>
      <c r="BT52" s="1"/>
      <c r="CB52" s="160"/>
      <c r="CC52" s="160"/>
      <c r="CD52" s="160"/>
    </row>
    <row r="53" spans="1:82" x14ac:dyDescent="0.2">
      <c r="A53" s="70"/>
      <c r="B53" s="275" t="s">
        <v>287</v>
      </c>
      <c r="C53" s="209">
        <v>1990</v>
      </c>
      <c r="D53" s="86">
        <v>250</v>
      </c>
      <c r="E53" s="86">
        <v>0</v>
      </c>
      <c r="F53" s="139">
        <f t="shared" ref="F53:F93" si="24">F52</f>
        <v>1</v>
      </c>
      <c r="G53" s="87">
        <v>1168.1156301452932</v>
      </c>
      <c r="H53" s="138" t="e">
        <f t="shared" ref="H53:H94" ca="1" si="25">MAX(I53/10,Cnapl($AJ$2,$AJ$3,$AJ$4,$AJ$5,$AJ$6,$AJ$7,$AJ$8,$AJ$9,$AJ$10,$AJ$11,$AJ$12,$AJ$13,$AJ$14,$AJ$15,$AJ$16,$AJ$17,$AJ$18,$AJ$19,$AJ$20,$AJ$21, D53*COS($AJ$23)-E53*SIN($AJ$23), D53*SIN($AJ$23)+E53*COS($AJ$23), C53,0))</f>
        <v>#NAME?</v>
      </c>
      <c r="I53" s="138">
        <v>0.1</v>
      </c>
      <c r="J53" s="166" t="e">
        <f t="shared" ref="J53:J108" ca="1" si="26">IF(J$8="yes",(LN(MAX(I53,H53))-LN(MAX(I53,G53)))^2,(MAX(I53,H54)-MAX(I53,G54))^2)/F53/F53</f>
        <v>#NAME?</v>
      </c>
      <c r="K53" s="167" t="e">
        <f t="shared" ca="1" si="9"/>
        <v>#NAME?</v>
      </c>
      <c r="L53" s="160">
        <v>8.3361380512085179E-2</v>
      </c>
      <c r="M53" s="167" t="e">
        <f t="shared" ref="M53:M108" ca="1" si="27">IF(F53&lt;9990,J53*F53*F53,0)</f>
        <v>#NAME?</v>
      </c>
      <c r="N53" s="167" t="e">
        <f t="shared" ca="1" si="10"/>
        <v>#NAME?</v>
      </c>
      <c r="O53" s="164" t="e">
        <f t="shared" ca="1" si="11"/>
        <v>#NAME?</v>
      </c>
      <c r="P53" s="221" t="e">
        <f t="shared" ca="1" si="12"/>
        <v>#NAME?</v>
      </c>
      <c r="Q53" s="221" t="e">
        <f t="shared" ca="1" si="13"/>
        <v>#NAME?</v>
      </c>
      <c r="R53" s="221" t="e">
        <f t="shared" ca="1" si="14"/>
        <v>#NAME?</v>
      </c>
      <c r="S53" s="221" t="e">
        <f t="shared" ca="1" si="15"/>
        <v>#NAME?</v>
      </c>
      <c r="T53" s="161">
        <v>2.0286841248611984</v>
      </c>
      <c r="U53" s="161">
        <v>-0.41898450579245211</v>
      </c>
      <c r="V53" s="161">
        <v>3.1067055422860217</v>
      </c>
      <c r="W53" s="161">
        <v>-0.77569901033829614</v>
      </c>
      <c r="X53" s="161">
        <v>0.18591999031210968</v>
      </c>
      <c r="Y53" s="161">
        <v>-0.1241717760505547</v>
      </c>
      <c r="Z53" s="161">
        <v>-0.5285472954425352</v>
      </c>
      <c r="AA53" s="161">
        <v>-3.1055486355186881E-3</v>
      </c>
      <c r="AB53" s="154">
        <v>-0.14245753309993089</v>
      </c>
      <c r="AC53" s="154">
        <v>0</v>
      </c>
      <c r="AD53" s="154">
        <v>-3.240443761873144E-3</v>
      </c>
      <c r="AE53" s="154">
        <v>-4.7240803071875136E-3</v>
      </c>
      <c r="AF53" s="152">
        <v>-1.640349031269863E-5</v>
      </c>
      <c r="AG53" s="161">
        <v>-1.7129820325145867E-5</v>
      </c>
      <c r="AH53" s="90"/>
      <c r="AK53" s="245"/>
      <c r="AL53" s="245"/>
      <c r="AM53" s="245"/>
      <c r="AN53" s="245"/>
      <c r="AO53" s="245"/>
      <c r="AP53" s="245"/>
      <c r="AQ53" s="245"/>
      <c r="AR53" s="245"/>
      <c r="AS53" s="245"/>
      <c r="AT53" s="245"/>
      <c r="AU53" s="245"/>
      <c r="AV53" s="245"/>
      <c r="AW53" s="241"/>
      <c r="AX53" s="241"/>
      <c r="AY53" s="243">
        <f t="shared" ref="AY53:AY70" si="28">SUM(AK53:AX53)</f>
        <v>0</v>
      </c>
      <c r="BA53" s="240">
        <f t="shared" ref="BA53:BA108" si="29">IF($F53&lt;9990,C53,"")</f>
        <v>1990</v>
      </c>
      <c r="BB53" s="240">
        <f t="shared" ref="BB53:BB108" si="30">IF($F53&lt;9990,D53,"")</f>
        <v>250</v>
      </c>
      <c r="BC53" s="240">
        <f t="shared" si="16"/>
        <v>0</v>
      </c>
      <c r="BD53" s="242">
        <f t="shared" ref="BD53:BD84" si="31">(C53-BA$49)^2</f>
        <v>84.903061224490997</v>
      </c>
      <c r="BE53" s="242">
        <f t="shared" si="17"/>
        <v>1363890.306122449</v>
      </c>
      <c r="BF53" s="242">
        <f t="shared" si="18"/>
        <v>32100.694444444442</v>
      </c>
      <c r="BG53" s="243">
        <f t="shared" si="19"/>
        <v>1.0412186251269329</v>
      </c>
      <c r="BK53" s="215">
        <v>2457.664393902764</v>
      </c>
      <c r="BL53" s="216">
        <f t="shared" ca="1" si="20"/>
        <v>0.48579883698760717</v>
      </c>
      <c r="BM53" s="71">
        <f t="shared" ca="1" si="21"/>
        <v>1.6254729782796142</v>
      </c>
      <c r="BN53" s="215">
        <f t="shared" ca="1" si="22"/>
        <v>3994.8670619688887</v>
      </c>
      <c r="BO53" s="71">
        <f t="shared" ca="1" si="23"/>
        <v>0.23600051001851166</v>
      </c>
      <c r="BT53" s="1"/>
      <c r="CB53" s="160"/>
      <c r="CC53" s="160"/>
      <c r="CD53" s="160"/>
    </row>
    <row r="54" spans="1:82" x14ac:dyDescent="0.2">
      <c r="A54" s="70"/>
      <c r="B54" s="275" t="s">
        <v>287</v>
      </c>
      <c r="C54" s="209">
        <v>1995</v>
      </c>
      <c r="D54" s="86">
        <v>250</v>
      </c>
      <c r="E54" s="86">
        <v>0</v>
      </c>
      <c r="F54" s="139">
        <f t="shared" si="24"/>
        <v>1</v>
      </c>
      <c r="G54" s="87">
        <v>2860.2481404378218</v>
      </c>
      <c r="H54" s="138" t="e">
        <f t="shared" ca="1" si="25"/>
        <v>#NAME?</v>
      </c>
      <c r="I54" s="138">
        <v>0.1</v>
      </c>
      <c r="J54" s="166" t="e">
        <f t="shared" ca="1" si="26"/>
        <v>#NAME?</v>
      </c>
      <c r="K54" s="167" t="e">
        <f t="shared" ca="1" si="9"/>
        <v>#NAME?</v>
      </c>
      <c r="L54" s="160">
        <v>6.6729909664792184E-2</v>
      </c>
      <c r="M54" s="167" t="e">
        <f t="shared" ca="1" si="27"/>
        <v>#NAME?</v>
      </c>
      <c r="N54" s="167" t="e">
        <f t="shared" ca="1" si="10"/>
        <v>#NAME?</v>
      </c>
      <c r="O54" s="164" t="e">
        <f t="shared" ca="1" si="11"/>
        <v>#NAME?</v>
      </c>
      <c r="P54" s="221" t="e">
        <f t="shared" ca="1" si="12"/>
        <v>#NAME?</v>
      </c>
      <c r="Q54" s="221" t="e">
        <f t="shared" ca="1" si="13"/>
        <v>#NAME?</v>
      </c>
      <c r="R54" s="221" t="e">
        <f t="shared" ca="1" si="14"/>
        <v>#NAME?</v>
      </c>
      <c r="S54" s="221" t="e">
        <f t="shared" ca="1" si="15"/>
        <v>#NAME?</v>
      </c>
      <c r="T54" s="161">
        <v>1.8352335528603103</v>
      </c>
      <c r="U54" s="161">
        <v>-0.33265724344440595</v>
      </c>
      <c r="V54" s="161">
        <v>2.2579577637438306</v>
      </c>
      <c r="W54" s="161">
        <v>-0.78910531699259823</v>
      </c>
      <c r="X54" s="161">
        <v>0.20012446199563289</v>
      </c>
      <c r="Y54" s="161">
        <v>-0.12255225028344004</v>
      </c>
      <c r="Z54" s="161">
        <v>-0.5285065197990978</v>
      </c>
      <c r="AA54" s="161">
        <v>-3.1055486355181117E-3</v>
      </c>
      <c r="AB54" s="154">
        <v>-0.14343643980969487</v>
      </c>
      <c r="AC54" s="154">
        <v>0</v>
      </c>
      <c r="AD54" s="154">
        <v>-3.2848588952523071E-4</v>
      </c>
      <c r="AE54" s="154">
        <v>-4.7202147853585025E-3</v>
      </c>
      <c r="AF54" s="152">
        <v>-2.1006780550239924E-6</v>
      </c>
      <c r="AG54" s="161">
        <v>-2.288193676442052E-6</v>
      </c>
      <c r="AH54" s="90"/>
      <c r="AK54" s="245"/>
      <c r="AL54" s="245"/>
      <c r="AM54" s="245"/>
      <c r="AN54" s="245"/>
      <c r="AO54" s="245"/>
      <c r="AP54" s="245"/>
      <c r="AQ54" s="245"/>
      <c r="AR54" s="245"/>
      <c r="AS54" s="245"/>
      <c r="AT54" s="245"/>
      <c r="AU54" s="245"/>
      <c r="AV54" s="245"/>
      <c r="AW54" s="241"/>
      <c r="AX54" s="241"/>
      <c r="AY54" s="243">
        <f t="shared" si="28"/>
        <v>0</v>
      </c>
      <c r="BA54" s="240">
        <f t="shared" si="29"/>
        <v>1995</v>
      </c>
      <c r="BB54" s="240">
        <f t="shared" si="30"/>
        <v>250</v>
      </c>
      <c r="BC54" s="240">
        <f t="shared" si="16"/>
        <v>0</v>
      </c>
      <c r="BD54" s="242">
        <f t="shared" si="31"/>
        <v>17.760204081633201</v>
      </c>
      <c r="BE54" s="242">
        <f t="shared" si="17"/>
        <v>1363890.306122449</v>
      </c>
      <c r="BF54" s="242">
        <f t="shared" si="18"/>
        <v>32100.694444444442</v>
      </c>
      <c r="BG54" s="243">
        <f t="shared" si="19"/>
        <v>1.0345375086402446</v>
      </c>
      <c r="BK54" s="215">
        <v>1773.2274680460332</v>
      </c>
      <c r="BL54" s="216">
        <f t="shared" ca="1" si="20"/>
        <v>-0.33250681599276755</v>
      </c>
      <c r="BM54" s="71">
        <f t="shared" ca="1" si="21"/>
        <v>0.71712378093682327</v>
      </c>
      <c r="BN54" s="215">
        <f t="shared" ca="1" si="22"/>
        <v>1271.6235863462014</v>
      </c>
      <c r="BO54" s="71">
        <f t="shared" ca="1" si="23"/>
        <v>0.11056078268164821</v>
      </c>
      <c r="BT54" s="1"/>
      <c r="CB54" s="160"/>
      <c r="CC54" s="160"/>
      <c r="CD54" s="160"/>
    </row>
    <row r="55" spans="1:82" x14ac:dyDescent="0.2">
      <c r="A55" s="70"/>
      <c r="B55" s="275" t="s">
        <v>287</v>
      </c>
      <c r="C55" s="209">
        <v>2000</v>
      </c>
      <c r="D55" s="86">
        <v>250</v>
      </c>
      <c r="E55" s="86">
        <v>0</v>
      </c>
      <c r="F55" s="139">
        <f t="shared" si="24"/>
        <v>1</v>
      </c>
      <c r="G55" s="87">
        <v>737.04418556579981</v>
      </c>
      <c r="H55" s="138" t="e">
        <f t="shared" ca="1" si="25"/>
        <v>#NAME?</v>
      </c>
      <c r="I55" s="138">
        <v>0.1</v>
      </c>
      <c r="J55" s="166" t="e">
        <f t="shared" ca="1" si="26"/>
        <v>#NAME?</v>
      </c>
      <c r="K55" s="167" t="e">
        <f t="shared" ca="1" si="9"/>
        <v>#NAME?</v>
      </c>
      <c r="L55" s="160">
        <v>5.9106045646380938E-2</v>
      </c>
      <c r="M55" s="167" t="e">
        <f t="shared" ca="1" si="27"/>
        <v>#NAME?</v>
      </c>
      <c r="N55" s="167" t="e">
        <f t="shared" ca="1" si="10"/>
        <v>#NAME?</v>
      </c>
      <c r="O55" s="164" t="e">
        <f t="shared" ca="1" si="11"/>
        <v>#NAME?</v>
      </c>
      <c r="P55" s="221" t="e">
        <f t="shared" ca="1" si="12"/>
        <v>#NAME?</v>
      </c>
      <c r="Q55" s="221" t="e">
        <f t="shared" ca="1" si="13"/>
        <v>#NAME?</v>
      </c>
      <c r="R55" s="221" t="e">
        <f t="shared" ca="1" si="14"/>
        <v>#NAME?</v>
      </c>
      <c r="S55" s="221" t="e">
        <f t="shared" ca="1" si="15"/>
        <v>#NAME?</v>
      </c>
      <c r="T55" s="161">
        <v>1.6167652540385502</v>
      </c>
      <c r="U55" s="161">
        <v>-0.23959945863266591</v>
      </c>
      <c r="V55" s="161">
        <v>1.4686579669577777</v>
      </c>
      <c r="W55" s="161">
        <v>-0.80441530745671352</v>
      </c>
      <c r="X55" s="161">
        <v>0.21654164465627476</v>
      </c>
      <c r="Y55" s="161">
        <v>-0.12146348754575992</v>
      </c>
      <c r="Z55" s="161">
        <v>-0.52845928219498106</v>
      </c>
      <c r="AA55" s="161">
        <v>-3.1055486355184001E-3</v>
      </c>
      <c r="AB55" s="154">
        <v>-0.14454154738645766</v>
      </c>
      <c r="AC55" s="154">
        <v>0</v>
      </c>
      <c r="AD55" s="154">
        <v>-3.7621462815943479E-5</v>
      </c>
      <c r="AE55" s="154">
        <v>-4.7157242673432865E-3</v>
      </c>
      <c r="AF55" s="152">
        <v>-2.8255784623373777E-7</v>
      </c>
      <c r="AG55" s="161">
        <v>-3.231692152999437E-7</v>
      </c>
      <c r="AH55" s="90"/>
      <c r="AK55" s="245"/>
      <c r="AL55" s="245"/>
      <c r="AM55" s="245"/>
      <c r="AN55" s="245"/>
      <c r="AO55" s="245"/>
      <c r="AP55" s="245"/>
      <c r="AQ55" s="245"/>
      <c r="AR55" s="245"/>
      <c r="AS55" s="245"/>
      <c r="AT55" s="245"/>
      <c r="AU55" s="245"/>
      <c r="AV55" s="245"/>
      <c r="AW55" s="241"/>
      <c r="AX55" s="241"/>
      <c r="AY55" s="243">
        <f t="shared" si="28"/>
        <v>0</v>
      </c>
      <c r="BA55" s="240">
        <f t="shared" si="29"/>
        <v>2000</v>
      </c>
      <c r="BB55" s="240">
        <f t="shared" si="30"/>
        <v>250</v>
      </c>
      <c r="BC55" s="240">
        <f t="shared" si="16"/>
        <v>0</v>
      </c>
      <c r="BD55" s="242">
        <f t="shared" si="31"/>
        <v>0.61734693877540814</v>
      </c>
      <c r="BE55" s="242">
        <f t="shared" si="17"/>
        <v>1363890.306122449</v>
      </c>
      <c r="BF55" s="242">
        <f t="shared" si="18"/>
        <v>32100.694444444442</v>
      </c>
      <c r="BG55" s="243">
        <f t="shared" si="19"/>
        <v>1.032824765743904</v>
      </c>
      <c r="BK55" s="215">
        <v>1240.5143759216314</v>
      </c>
      <c r="BL55" s="216">
        <f t="shared" ca="1" si="20"/>
        <v>4.4402552162344344E-2</v>
      </c>
      <c r="BM55" s="71">
        <f t="shared" ca="1" si="21"/>
        <v>1.0454030994751558</v>
      </c>
      <c r="BN55" s="215">
        <f t="shared" ca="1" si="22"/>
        <v>1296.8375735319621</v>
      </c>
      <c r="BO55" s="71">
        <f t="shared" ca="1" si="23"/>
        <v>1.9715866385297191E-3</v>
      </c>
      <c r="BT55" s="1"/>
      <c r="CB55" s="160"/>
      <c r="CC55" s="160"/>
      <c r="CD55" s="160"/>
    </row>
    <row r="56" spans="1:82" x14ac:dyDescent="0.2">
      <c r="A56" s="70"/>
      <c r="B56" s="275" t="s">
        <v>287</v>
      </c>
      <c r="C56" s="209">
        <v>2005</v>
      </c>
      <c r="D56" s="86">
        <v>250</v>
      </c>
      <c r="E56" s="86">
        <v>0</v>
      </c>
      <c r="F56" s="139">
        <f t="shared" si="24"/>
        <v>1</v>
      </c>
      <c r="G56" s="87">
        <v>1756.5112649055909</v>
      </c>
      <c r="H56" s="138" t="e">
        <f t="shared" ca="1" si="25"/>
        <v>#NAME?</v>
      </c>
      <c r="I56" s="138">
        <v>0.1</v>
      </c>
      <c r="J56" s="166" t="e">
        <f t="shared" ca="1" si="26"/>
        <v>#NAME?</v>
      </c>
      <c r="K56" s="167" t="e">
        <f t="shared" ca="1" si="9"/>
        <v>#NAME?</v>
      </c>
      <c r="L56" s="160">
        <v>5.6798149137082622E-2</v>
      </c>
      <c r="M56" s="167" t="e">
        <f t="shared" ca="1" si="27"/>
        <v>#NAME?</v>
      </c>
      <c r="N56" s="167" t="e">
        <f t="shared" ca="1" si="10"/>
        <v>#NAME?</v>
      </c>
      <c r="O56" s="164" t="e">
        <f t="shared" ca="1" si="11"/>
        <v>#NAME?</v>
      </c>
      <c r="P56" s="221" t="e">
        <f t="shared" ca="1" si="12"/>
        <v>#NAME?</v>
      </c>
      <c r="Q56" s="221" t="e">
        <f t="shared" ca="1" si="13"/>
        <v>#NAME?</v>
      </c>
      <c r="R56" s="221" t="e">
        <f t="shared" ca="1" si="14"/>
        <v>#NAME?</v>
      </c>
      <c r="S56" s="221" t="e">
        <f t="shared" ca="1" si="15"/>
        <v>#NAME?</v>
      </c>
      <c r="T56" s="161">
        <v>1.3680488351247169</v>
      </c>
      <c r="U56" s="161">
        <v>-0.13873869952583953</v>
      </c>
      <c r="V56" s="161">
        <v>0.76116704693474635</v>
      </c>
      <c r="W56" s="161">
        <v>-0.82237292188228517</v>
      </c>
      <c r="X56" s="161">
        <v>0.23586115408578856</v>
      </c>
      <c r="Y56" s="161">
        <v>-0.12047940312486884</v>
      </c>
      <c r="Z56" s="161">
        <v>-0.52840373752855707</v>
      </c>
      <c r="AA56" s="161">
        <v>-3.1055486355184001E-3</v>
      </c>
      <c r="AB56" s="154">
        <v>-0.14584103250191968</v>
      </c>
      <c r="AC56" s="154">
        <v>0</v>
      </c>
      <c r="AD56" s="154">
        <v>-4.6503378407929959E-6</v>
      </c>
      <c r="AE56" s="154">
        <v>-4.7104173256365591E-3</v>
      </c>
      <c r="AF56" s="152">
        <v>-3.9830508374545829E-8</v>
      </c>
      <c r="AG56" s="161">
        <v>-4.825921384215327E-8</v>
      </c>
      <c r="AH56" s="90"/>
      <c r="AK56" s="245"/>
      <c r="AL56" s="245"/>
      <c r="AM56" s="245"/>
      <c r="AN56" s="245"/>
      <c r="AO56" s="245"/>
      <c r="AP56" s="245"/>
      <c r="AQ56" s="245"/>
      <c r="AR56" s="245"/>
      <c r="AS56" s="245"/>
      <c r="AT56" s="245"/>
      <c r="AU56" s="245"/>
      <c r="AV56" s="245"/>
      <c r="AW56" s="241"/>
      <c r="AX56" s="241"/>
      <c r="AY56" s="243">
        <f t="shared" si="28"/>
        <v>0</v>
      </c>
      <c r="BA56" s="240">
        <f t="shared" si="29"/>
        <v>2005</v>
      </c>
      <c r="BB56" s="240">
        <f t="shared" si="30"/>
        <v>250</v>
      </c>
      <c r="BC56" s="240">
        <f t="shared" si="16"/>
        <v>0</v>
      </c>
      <c r="BD56" s="242">
        <f t="shared" si="31"/>
        <v>33.474489795917613</v>
      </c>
      <c r="BE56" s="242">
        <f t="shared" si="17"/>
        <v>1363890.306122449</v>
      </c>
      <c r="BF56" s="242">
        <f t="shared" si="18"/>
        <v>32100.694444444442</v>
      </c>
      <c r="BG56" s="243">
        <f t="shared" si="19"/>
        <v>1.0361050357769608</v>
      </c>
      <c r="BK56" s="215">
        <v>836.10486309251723</v>
      </c>
      <c r="BL56" s="216">
        <f t="shared" ca="1" si="20"/>
        <v>3.0723165588841805E-3</v>
      </c>
      <c r="BM56" s="71">
        <f t="shared" ca="1" si="21"/>
        <v>1.0030770409604499</v>
      </c>
      <c r="BN56" s="215">
        <f t="shared" ca="1" si="22"/>
        <v>838.67759200348428</v>
      </c>
      <c r="BO56" s="71">
        <f t="shared" ca="1" si="23"/>
        <v>9.4391290379939425E-6</v>
      </c>
      <c r="BT56" s="1"/>
      <c r="CB56" s="160"/>
      <c r="CC56" s="160"/>
      <c r="CD56" s="160"/>
    </row>
    <row r="57" spans="1:82" x14ac:dyDescent="0.2">
      <c r="A57" s="70"/>
      <c r="B57" s="275" t="s">
        <v>287</v>
      </c>
      <c r="C57" s="209">
        <v>2006</v>
      </c>
      <c r="D57" s="86">
        <v>250</v>
      </c>
      <c r="E57" s="86">
        <v>0</v>
      </c>
      <c r="F57" s="139">
        <f t="shared" si="24"/>
        <v>1</v>
      </c>
      <c r="G57" s="87">
        <v>1033.713050428451</v>
      </c>
      <c r="H57" s="138" t="e">
        <f t="shared" ca="1" si="25"/>
        <v>#NAME?</v>
      </c>
      <c r="I57" s="138">
        <v>0.1</v>
      </c>
      <c r="J57" s="166" t="e">
        <f t="shared" ca="1" si="26"/>
        <v>#NAME?</v>
      </c>
      <c r="K57" s="167" t="e">
        <f t="shared" ca="1" si="9"/>
        <v>#NAME?</v>
      </c>
      <c r="L57" s="160">
        <v>5.65514996291656E-2</v>
      </c>
      <c r="M57" s="167" t="e">
        <f t="shared" ca="1" si="27"/>
        <v>#NAME?</v>
      </c>
      <c r="N57" s="167" t="e">
        <f t="shared" ca="1" si="10"/>
        <v>#NAME?</v>
      </c>
      <c r="O57" s="164" t="e">
        <f t="shared" ca="1" si="11"/>
        <v>#NAME?</v>
      </c>
      <c r="P57" s="221" t="e">
        <f t="shared" ca="1" si="12"/>
        <v>#NAME?</v>
      </c>
      <c r="Q57" s="221" t="e">
        <f t="shared" ca="1" si="13"/>
        <v>#NAME?</v>
      </c>
      <c r="R57" s="221" t="e">
        <f t="shared" ca="1" si="14"/>
        <v>#NAME?</v>
      </c>
      <c r="S57" s="221" t="e">
        <f t="shared" ca="1" si="15"/>
        <v>#NAME?</v>
      </c>
      <c r="T57" s="161">
        <v>1.314110093985688</v>
      </c>
      <c r="U57" s="161">
        <v>-0.11751722120984921</v>
      </c>
      <c r="V57" s="161">
        <v>0.63197360235916378</v>
      </c>
      <c r="W57" s="161">
        <v>-0.82634937966695254</v>
      </c>
      <c r="X57" s="161">
        <v>0.24014393784501356</v>
      </c>
      <c r="Y57" s="161">
        <v>-0.12027086704114344</v>
      </c>
      <c r="Z57" s="161">
        <v>-0.52839143397396815</v>
      </c>
      <c r="AA57" s="161">
        <v>-3.1055486355184001E-3</v>
      </c>
      <c r="AB57" s="154">
        <v>-0.14612975892415975</v>
      </c>
      <c r="AC57" s="154">
        <v>0</v>
      </c>
      <c r="AD57" s="154">
        <v>-3.0850626826158589E-6</v>
      </c>
      <c r="AE57" s="154">
        <v>-4.7092377932693441E-3</v>
      </c>
      <c r="AF57" s="152">
        <v>-2.7069775666397988E-8</v>
      </c>
      <c r="AG57" s="161">
        <v>-3.3225566489096646E-8</v>
      </c>
      <c r="AH57" s="90"/>
      <c r="AK57" s="245"/>
      <c r="AL57" s="245"/>
      <c r="AM57" s="245"/>
      <c r="AN57" s="245"/>
      <c r="AO57" s="245"/>
      <c r="AP57" s="245"/>
      <c r="AQ57" s="245"/>
      <c r="AR57" s="245"/>
      <c r="AS57" s="245"/>
      <c r="AT57" s="245"/>
      <c r="AU57" s="245"/>
      <c r="AV57" s="245"/>
      <c r="AW57" s="241"/>
      <c r="AX57" s="241"/>
      <c r="AY57" s="243">
        <f t="shared" si="28"/>
        <v>0</v>
      </c>
      <c r="BA57" s="240">
        <f t="shared" si="29"/>
        <v>2006</v>
      </c>
      <c r="BB57" s="240">
        <f t="shared" si="30"/>
        <v>250</v>
      </c>
      <c r="BC57" s="240">
        <f t="shared" si="16"/>
        <v>0</v>
      </c>
      <c r="BD57" s="242">
        <f t="shared" si="31"/>
        <v>46.045918367346054</v>
      </c>
      <c r="BE57" s="242">
        <f t="shared" si="17"/>
        <v>1363890.306122449</v>
      </c>
      <c r="BF57" s="242">
        <f t="shared" si="18"/>
        <v>32100.694444444442</v>
      </c>
      <c r="BG57" s="243">
        <f t="shared" si="19"/>
        <v>1.0373573520563815</v>
      </c>
      <c r="BK57" s="215">
        <v>749.37636790490569</v>
      </c>
      <c r="BL57" s="216">
        <f t="shared" ca="1" si="20"/>
        <v>-0.70005220218104824</v>
      </c>
      <c r="BM57" s="71">
        <f t="shared" ca="1" si="21"/>
        <v>0.49655938163207763</v>
      </c>
      <c r="BN57" s="215">
        <f t="shared" ca="1" si="22"/>
        <v>372.10986585655229</v>
      </c>
      <c r="BO57" s="71">
        <f t="shared" ca="1" si="23"/>
        <v>0.49007308577853526</v>
      </c>
      <c r="BT57" s="1"/>
      <c r="CB57" s="160"/>
      <c r="CC57" s="160"/>
      <c r="CD57" s="160"/>
    </row>
    <row r="58" spans="1:82" x14ac:dyDescent="0.2">
      <c r="A58" s="70"/>
      <c r="B58" s="275" t="s">
        <v>288</v>
      </c>
      <c r="C58" s="209">
        <v>1985</v>
      </c>
      <c r="D58" s="86">
        <v>600</v>
      </c>
      <c r="E58" s="86">
        <v>10</v>
      </c>
      <c r="F58" s="139">
        <f t="shared" si="24"/>
        <v>1</v>
      </c>
      <c r="G58" s="87">
        <v>2490.1093855654262</v>
      </c>
      <c r="H58" s="138" t="e">
        <f t="shared" ca="1" si="25"/>
        <v>#NAME?</v>
      </c>
      <c r="I58" s="138">
        <v>0.1</v>
      </c>
      <c r="J58" s="166" t="e">
        <f t="shared" ca="1" si="26"/>
        <v>#NAME?</v>
      </c>
      <c r="K58" s="167" t="e">
        <f t="shared" ca="1" si="9"/>
        <v>#NAME?</v>
      </c>
      <c r="L58" s="160">
        <v>0.12171748646481007</v>
      </c>
      <c r="M58" s="167" t="e">
        <f t="shared" ca="1" si="27"/>
        <v>#NAME?</v>
      </c>
      <c r="N58" s="167" t="e">
        <f t="shared" ca="1" si="10"/>
        <v>#NAME?</v>
      </c>
      <c r="O58" s="164" t="e">
        <f t="shared" ca="1" si="11"/>
        <v>#NAME?</v>
      </c>
      <c r="P58" s="221" t="e">
        <f t="shared" ca="1" si="12"/>
        <v>#NAME?</v>
      </c>
      <c r="Q58" s="221" t="e">
        <f t="shared" ca="1" si="13"/>
        <v>#NAME?</v>
      </c>
      <c r="R58" s="221" t="e">
        <f t="shared" ca="1" si="14"/>
        <v>#NAME?</v>
      </c>
      <c r="S58" s="221" t="e">
        <f t="shared" ca="1" si="15"/>
        <v>#NAME?</v>
      </c>
      <c r="T58" s="161">
        <v>2.3207841335854575</v>
      </c>
      <c r="U58" s="161">
        <v>-0.5565253104087261</v>
      </c>
      <c r="V58" s="161">
        <v>4.7212905780642647</v>
      </c>
      <c r="W58" s="161">
        <v>-0.43783835229143098</v>
      </c>
      <c r="X58" s="161">
        <v>0.34639485672402964</v>
      </c>
      <c r="Y58" s="161">
        <v>-8.9461910645178569E-2</v>
      </c>
      <c r="Z58" s="161">
        <v>-0.52742193375703839</v>
      </c>
      <c r="AA58" s="161">
        <v>-3.1055486355186881E-3</v>
      </c>
      <c r="AB58" s="154">
        <v>-0.30293522507529186</v>
      </c>
      <c r="AC58" s="154">
        <v>0</v>
      </c>
      <c r="AD58" s="154">
        <v>-0.28599656502406318</v>
      </c>
      <c r="AE58" s="154">
        <v>5.9879904818015264E-2</v>
      </c>
      <c r="AF58" s="152">
        <v>-2.192092790114261E-3</v>
      </c>
      <c r="AG58" s="161">
        <v>-2.0285151560573544E-3</v>
      </c>
      <c r="AH58" s="90"/>
      <c r="AK58" s="245"/>
      <c r="AL58" s="245"/>
      <c r="AM58" s="245"/>
      <c r="AN58" s="245"/>
      <c r="AO58" s="245"/>
      <c r="AP58" s="245"/>
      <c r="AQ58" s="245"/>
      <c r="AR58" s="245"/>
      <c r="AS58" s="245"/>
      <c r="AT58" s="245"/>
      <c r="AU58" s="245"/>
      <c r="AV58" s="245"/>
      <c r="AW58" s="241"/>
      <c r="AX58" s="241"/>
      <c r="AY58" s="243">
        <f t="shared" si="28"/>
        <v>0</v>
      </c>
      <c r="BA58" s="240">
        <f t="shared" si="29"/>
        <v>1985</v>
      </c>
      <c r="BB58" s="240">
        <f t="shared" si="30"/>
        <v>600</v>
      </c>
      <c r="BC58" s="240">
        <f t="shared" si="16"/>
        <v>10</v>
      </c>
      <c r="BD58" s="242">
        <f t="shared" si="31"/>
        <v>202.04591836734878</v>
      </c>
      <c r="BE58" s="242">
        <f t="shared" si="17"/>
        <v>668890.30612244899</v>
      </c>
      <c r="BF58" s="242">
        <f t="shared" si="18"/>
        <v>28617.361111111109</v>
      </c>
      <c r="BG58" s="243">
        <f t="shared" si="19"/>
        <v>1.0469301512182176</v>
      </c>
      <c r="BK58" s="215">
        <v>2112.8917855158465</v>
      </c>
      <c r="BL58" s="216">
        <f t="shared" ca="1" si="20"/>
        <v>0.32937373501866141</v>
      </c>
      <c r="BM58" s="71">
        <f t="shared" ca="1" si="21"/>
        <v>1.3900972865521246</v>
      </c>
      <c r="BN58" s="215">
        <f t="shared" ca="1" si="22"/>
        <v>2937.1251378238521</v>
      </c>
      <c r="BO58" s="71">
        <f t="shared" ca="1" si="23"/>
        <v>0.10848705732014334</v>
      </c>
      <c r="BT58" s="1"/>
      <c r="CB58" s="160"/>
      <c r="CC58" s="160"/>
      <c r="CD58" s="160"/>
    </row>
    <row r="59" spans="1:82" x14ac:dyDescent="0.2">
      <c r="A59" s="70"/>
      <c r="B59" s="275" t="s">
        <v>288</v>
      </c>
      <c r="C59" s="209">
        <v>1990</v>
      </c>
      <c r="D59" s="86">
        <v>600</v>
      </c>
      <c r="E59" s="86">
        <v>10</v>
      </c>
      <c r="F59" s="139">
        <f t="shared" si="24"/>
        <v>1</v>
      </c>
      <c r="G59" s="87">
        <v>1160.5881316894781</v>
      </c>
      <c r="H59" s="138" t="e">
        <f t="shared" ca="1" si="25"/>
        <v>#NAME?</v>
      </c>
      <c r="I59" s="138">
        <v>0.1</v>
      </c>
      <c r="J59" s="166" t="e">
        <f t="shared" ca="1" si="26"/>
        <v>#NAME?</v>
      </c>
      <c r="K59" s="167" t="e">
        <f t="shared" ca="1" si="9"/>
        <v>#NAME?</v>
      </c>
      <c r="L59" s="160">
        <v>9.6727614414220273E-2</v>
      </c>
      <c r="M59" s="167" t="e">
        <f t="shared" ca="1" si="27"/>
        <v>#NAME?</v>
      </c>
      <c r="N59" s="167" t="e">
        <f t="shared" ca="1" si="10"/>
        <v>#NAME?</v>
      </c>
      <c r="O59" s="164" t="e">
        <f t="shared" ca="1" si="11"/>
        <v>#NAME?</v>
      </c>
      <c r="P59" s="221" t="e">
        <f t="shared" ca="1" si="12"/>
        <v>#NAME?</v>
      </c>
      <c r="Q59" s="221" t="e">
        <f t="shared" ca="1" si="13"/>
        <v>#NAME?</v>
      </c>
      <c r="R59" s="221" t="e">
        <f t="shared" ca="1" si="14"/>
        <v>#NAME?</v>
      </c>
      <c r="S59" s="221" t="e">
        <f t="shared" ca="1" si="15"/>
        <v>#NAME?</v>
      </c>
      <c r="T59" s="161">
        <v>2.1628406278710353</v>
      </c>
      <c r="U59" s="161">
        <v>-0.48029316164148667</v>
      </c>
      <c r="V59" s="161">
        <v>3.8131663173285513</v>
      </c>
      <c r="W59" s="161">
        <v>-0.48369599813755226</v>
      </c>
      <c r="X59" s="161">
        <v>0.38245241944862857</v>
      </c>
      <c r="Y59" s="161">
        <v>-8.4148397854538315E-2</v>
      </c>
      <c r="Z59" s="161">
        <v>-0.52737882272046888</v>
      </c>
      <c r="AA59" s="161">
        <v>-3.1055486355184001E-3</v>
      </c>
      <c r="AB59" s="154">
        <v>-0.30642888665713669</v>
      </c>
      <c r="AC59" s="154">
        <v>0</v>
      </c>
      <c r="AD59" s="154">
        <v>-2.8039154524791166E-2</v>
      </c>
      <c r="AE59" s="154">
        <v>5.977784411457155E-2</v>
      </c>
      <c r="AF59" s="152">
        <v>-3.0862905484545624E-4</v>
      </c>
      <c r="AG59" s="161">
        <v>-2.9219658890734519E-4</v>
      </c>
      <c r="AH59" s="90"/>
      <c r="AK59" s="245"/>
      <c r="AL59" s="245"/>
      <c r="AM59" s="245"/>
      <c r="AN59" s="245"/>
      <c r="AO59" s="245"/>
      <c r="AP59" s="245"/>
      <c r="AQ59" s="245"/>
      <c r="AR59" s="245"/>
      <c r="AS59" s="245"/>
      <c r="AT59" s="245"/>
      <c r="AU59" s="245"/>
      <c r="AV59" s="245"/>
      <c r="AW59" s="241"/>
      <c r="AX59" s="241"/>
      <c r="AY59" s="243">
        <f t="shared" si="28"/>
        <v>0</v>
      </c>
      <c r="BA59" s="240">
        <f t="shared" si="29"/>
        <v>1990</v>
      </c>
      <c r="BB59" s="240">
        <f t="shared" si="30"/>
        <v>600</v>
      </c>
      <c r="BC59" s="240">
        <f t="shared" si="16"/>
        <v>10</v>
      </c>
      <c r="BD59" s="242">
        <f t="shared" si="31"/>
        <v>84.903061224490997</v>
      </c>
      <c r="BE59" s="242">
        <f t="shared" si="17"/>
        <v>668890.30612244899</v>
      </c>
      <c r="BF59" s="242">
        <f t="shared" si="18"/>
        <v>28617.361111111109</v>
      </c>
      <c r="BG59" s="243">
        <f t="shared" si="19"/>
        <v>1.0353100330452241</v>
      </c>
      <c r="BK59" s="215">
        <v>1596.0523932909864</v>
      </c>
      <c r="BL59" s="216">
        <f t="shared" ca="1" si="20"/>
        <v>-0.13484365957373323</v>
      </c>
      <c r="BM59" s="71">
        <f t="shared" ca="1" si="21"/>
        <v>0.87385251948448606</v>
      </c>
      <c r="BN59" s="215">
        <f t="shared" ca="1" si="22"/>
        <v>1394.7144051065723</v>
      </c>
      <c r="BO59" s="71">
        <f t="shared" ca="1" si="23"/>
        <v>1.8182812527236872E-2</v>
      </c>
      <c r="BT59" s="1"/>
      <c r="CB59" s="160"/>
      <c r="CC59" s="160"/>
      <c r="CD59" s="160"/>
    </row>
    <row r="60" spans="1:82" x14ac:dyDescent="0.2">
      <c r="A60" s="70"/>
      <c r="B60" s="275" t="s">
        <v>288</v>
      </c>
      <c r="C60" s="209">
        <v>1995</v>
      </c>
      <c r="D60" s="86">
        <v>600</v>
      </c>
      <c r="E60" s="86">
        <v>10</v>
      </c>
      <c r="F60" s="139">
        <f t="shared" si="24"/>
        <v>1</v>
      </c>
      <c r="G60" s="87">
        <v>1091.8287102716245</v>
      </c>
      <c r="H60" s="138" t="e">
        <f t="shared" ca="1" si="25"/>
        <v>#NAME?</v>
      </c>
      <c r="I60" s="138">
        <v>0.1</v>
      </c>
      <c r="J60" s="166" t="e">
        <f t="shared" ca="1" si="26"/>
        <v>#NAME?</v>
      </c>
      <c r="K60" s="167" t="e">
        <f t="shared" ca="1" si="9"/>
        <v>#NAME?</v>
      </c>
      <c r="L60" s="160">
        <v>7.9758064079361604E-2</v>
      </c>
      <c r="M60" s="167" t="e">
        <f t="shared" ca="1" si="27"/>
        <v>#NAME?</v>
      </c>
      <c r="N60" s="167" t="e">
        <f t="shared" ca="1" si="10"/>
        <v>#NAME?</v>
      </c>
      <c r="O60" s="164" t="e">
        <f t="shared" ca="1" si="11"/>
        <v>#NAME?</v>
      </c>
      <c r="P60" s="221" t="e">
        <f t="shared" ca="1" si="12"/>
        <v>#NAME?</v>
      </c>
      <c r="Q60" s="221" t="e">
        <f t="shared" ca="1" si="13"/>
        <v>#NAME?</v>
      </c>
      <c r="R60" s="221" t="e">
        <f t="shared" ca="1" si="14"/>
        <v>#NAME?</v>
      </c>
      <c r="S60" s="221" t="e">
        <f t="shared" ca="1" si="15"/>
        <v>#NAME?</v>
      </c>
      <c r="T60" s="161">
        <v>1.9862271695631466</v>
      </c>
      <c r="U60" s="161">
        <v>-0.39860464364302661</v>
      </c>
      <c r="V60" s="161">
        <v>2.9342667033579279</v>
      </c>
      <c r="W60" s="161">
        <v>-0.51421087382885355</v>
      </c>
      <c r="X60" s="161">
        <v>0.41180089784963531</v>
      </c>
      <c r="Y60" s="161">
        <v>-8.2437947514727647E-2</v>
      </c>
      <c r="Z60" s="161">
        <v>-0.52734211719119695</v>
      </c>
      <c r="AA60" s="161">
        <v>-3.1055486355184001E-3</v>
      </c>
      <c r="AB60" s="154">
        <v>-0.30858817137527217</v>
      </c>
      <c r="AC60" s="154">
        <v>0</v>
      </c>
      <c r="AD60" s="154">
        <v>-3.9870973924055475E-3</v>
      </c>
      <c r="AE60" s="154">
        <v>5.9690121074051847E-2</v>
      </c>
      <c r="AF60" s="152">
        <v>-4.3344430163346441E-5</v>
      </c>
      <c r="AG60" s="161">
        <v>-4.2331387638008327E-5</v>
      </c>
      <c r="AH60" s="90"/>
      <c r="AK60" s="245"/>
      <c r="AL60" s="245"/>
      <c r="AM60" s="245"/>
      <c r="AN60" s="245"/>
      <c r="AO60" s="245"/>
      <c r="AP60" s="245"/>
      <c r="AQ60" s="245"/>
      <c r="AR60" s="245"/>
      <c r="AS60" s="245"/>
      <c r="AT60" s="245"/>
      <c r="AU60" s="245"/>
      <c r="AV60" s="245"/>
      <c r="AW60" s="241"/>
      <c r="AX60" s="241"/>
      <c r="AY60" s="243">
        <f t="shared" si="28"/>
        <v>0</v>
      </c>
      <c r="BA60" s="240">
        <f t="shared" si="29"/>
        <v>1995</v>
      </c>
      <c r="BB60" s="240">
        <f t="shared" si="30"/>
        <v>600</v>
      </c>
      <c r="BC60" s="240">
        <f t="shared" si="16"/>
        <v>10</v>
      </c>
      <c r="BD60" s="242">
        <f t="shared" si="31"/>
        <v>17.760204081633201</v>
      </c>
      <c r="BE60" s="242">
        <f t="shared" si="17"/>
        <v>668890.30612244899</v>
      </c>
      <c r="BF60" s="242">
        <f t="shared" si="18"/>
        <v>28617.361111111109</v>
      </c>
      <c r="BG60" s="243">
        <f t="shared" si="19"/>
        <v>1.028590538550908</v>
      </c>
      <c r="BK60" s="215">
        <v>1177.8866995960532</v>
      </c>
      <c r="BL60" s="216">
        <f t="shared" ca="1" si="20"/>
        <v>-0.29093035960220598</v>
      </c>
      <c r="BM60" s="71">
        <f t="shared" ca="1" si="21"/>
        <v>0.74756773711995272</v>
      </c>
      <c r="BN60" s="215">
        <f t="shared" ca="1" si="22"/>
        <v>880.55009460071096</v>
      </c>
      <c r="BO60" s="71">
        <f t="shared" ca="1" si="23"/>
        <v>8.464047413826889E-2</v>
      </c>
      <c r="BT60" s="1"/>
      <c r="CB60" s="160"/>
      <c r="CC60" s="160"/>
      <c r="CD60" s="160"/>
    </row>
    <row r="61" spans="1:82" x14ac:dyDescent="0.2">
      <c r="A61" s="70"/>
      <c r="B61" s="275" t="s">
        <v>288</v>
      </c>
      <c r="C61" s="209">
        <v>2000</v>
      </c>
      <c r="D61" s="86">
        <v>600</v>
      </c>
      <c r="E61" s="86">
        <v>10</v>
      </c>
      <c r="F61" s="139">
        <f t="shared" si="24"/>
        <v>1</v>
      </c>
      <c r="G61" s="87">
        <v>505.40439501849551</v>
      </c>
      <c r="H61" s="138" t="e">
        <f t="shared" ca="1" si="25"/>
        <v>#NAME?</v>
      </c>
      <c r="I61" s="138">
        <v>0.1</v>
      </c>
      <c r="J61" s="166" t="e">
        <f t="shared" ca="1" si="26"/>
        <v>#NAME?</v>
      </c>
      <c r="K61" s="167" t="e">
        <f t="shared" ca="1" si="9"/>
        <v>#NAME?</v>
      </c>
      <c r="L61" s="160">
        <v>6.6236055962647922E-2</v>
      </c>
      <c r="M61" s="167" t="e">
        <f t="shared" ca="1" si="27"/>
        <v>#NAME?</v>
      </c>
      <c r="N61" s="167" t="e">
        <f t="shared" ca="1" si="10"/>
        <v>#NAME?</v>
      </c>
      <c r="O61" s="164" t="e">
        <f t="shared" ca="1" si="11"/>
        <v>#NAME?</v>
      </c>
      <c r="P61" s="221" t="e">
        <f t="shared" ca="1" si="12"/>
        <v>#NAME?</v>
      </c>
      <c r="Q61" s="221" t="e">
        <f t="shared" ca="1" si="13"/>
        <v>#NAME?</v>
      </c>
      <c r="R61" s="221" t="e">
        <f t="shared" ca="1" si="14"/>
        <v>#NAME?</v>
      </c>
      <c r="S61" s="221" t="e">
        <f t="shared" ca="1" si="15"/>
        <v>#NAME?</v>
      </c>
      <c r="T61" s="161">
        <v>1.7879029740643493</v>
      </c>
      <c r="U61" s="161">
        <v>-0.31086537915687218</v>
      </c>
      <c r="V61" s="161">
        <v>2.1010222828192786</v>
      </c>
      <c r="W61" s="161">
        <v>-0.54455357191645659</v>
      </c>
      <c r="X61" s="161">
        <v>0.44365695231107566</v>
      </c>
      <c r="Y61" s="161">
        <v>-8.2576669891511537E-2</v>
      </c>
      <c r="Z61" s="161">
        <v>-0.52730170095666939</v>
      </c>
      <c r="AA61" s="161">
        <v>-3.1055486355184001E-3</v>
      </c>
      <c r="AB61" s="154">
        <v>-0.31063250531955255</v>
      </c>
      <c r="AC61" s="154">
        <v>0</v>
      </c>
      <c r="AD61" s="154">
        <v>-5.6659235923939971E-4</v>
      </c>
      <c r="AE61" s="154">
        <v>5.9593377672028838E-2</v>
      </c>
      <c r="AF61" s="152">
        <v>-6.1704437628084959E-6</v>
      </c>
      <c r="AG61" s="161">
        <v>-6.2637664015092443E-6</v>
      </c>
      <c r="AH61" s="90"/>
      <c r="AK61" s="245"/>
      <c r="AL61" s="245"/>
      <c r="AM61" s="245"/>
      <c r="AN61" s="245"/>
      <c r="AO61" s="245"/>
      <c r="AP61" s="245"/>
      <c r="AQ61" s="245"/>
      <c r="AR61" s="245"/>
      <c r="AS61" s="245"/>
      <c r="AT61" s="245"/>
      <c r="AU61" s="245"/>
      <c r="AV61" s="245"/>
      <c r="AW61" s="241"/>
      <c r="AX61" s="241"/>
      <c r="AY61" s="243">
        <f t="shared" si="28"/>
        <v>0</v>
      </c>
      <c r="BA61" s="240">
        <f t="shared" si="29"/>
        <v>2000</v>
      </c>
      <c r="BB61" s="240">
        <f t="shared" si="30"/>
        <v>600</v>
      </c>
      <c r="BC61" s="240">
        <f t="shared" si="16"/>
        <v>10</v>
      </c>
      <c r="BD61" s="242">
        <f t="shared" si="31"/>
        <v>0.61734693877540814</v>
      </c>
      <c r="BE61" s="242">
        <f t="shared" si="17"/>
        <v>668890.30612244899</v>
      </c>
      <c r="BF61" s="242">
        <f t="shared" si="18"/>
        <v>28617.361111111109</v>
      </c>
      <c r="BG61" s="243">
        <f t="shared" si="19"/>
        <v>1.0268678765775239</v>
      </c>
      <c r="BK61" s="215">
        <v>846.48586667266773</v>
      </c>
      <c r="BL61" s="216">
        <f t="shared" ca="1" si="20"/>
        <v>0.36176541504316662</v>
      </c>
      <c r="BM61" s="71">
        <f t="shared" ca="1" si="21"/>
        <v>1.4358620708075451</v>
      </c>
      <c r="BN61" s="215">
        <f t="shared" ca="1" si="22"/>
        <v>1215.4369494299362</v>
      </c>
      <c r="BO61" s="71">
        <f t="shared" ca="1" si="23"/>
        <v>0.13087421552135456</v>
      </c>
      <c r="BT61" s="1"/>
      <c r="CB61" s="160"/>
      <c r="CC61" s="160"/>
      <c r="CD61" s="160"/>
    </row>
    <row r="62" spans="1:82" x14ac:dyDescent="0.2">
      <c r="A62" s="70"/>
      <c r="B62" s="275" t="s">
        <v>288</v>
      </c>
      <c r="C62" s="209">
        <v>2005</v>
      </c>
      <c r="D62" s="86">
        <v>600</v>
      </c>
      <c r="E62" s="86">
        <v>10</v>
      </c>
      <c r="F62" s="139">
        <f t="shared" si="24"/>
        <v>1</v>
      </c>
      <c r="G62" s="87">
        <v>761.68311356075867</v>
      </c>
      <c r="H62" s="138" t="e">
        <f t="shared" ca="1" si="25"/>
        <v>#NAME?</v>
      </c>
      <c r="I62" s="138">
        <v>0.1</v>
      </c>
      <c r="J62" s="166" t="e">
        <f t="shared" ca="1" si="26"/>
        <v>#NAME?</v>
      </c>
      <c r="K62" s="167" t="e">
        <f t="shared" ca="1" si="9"/>
        <v>#NAME?</v>
      </c>
      <c r="L62" s="160">
        <v>6.0675160505458084E-2</v>
      </c>
      <c r="M62" s="167" t="e">
        <f t="shared" ca="1" si="27"/>
        <v>#NAME?</v>
      </c>
      <c r="N62" s="167" t="e">
        <f t="shared" ca="1" si="10"/>
        <v>#NAME?</v>
      </c>
      <c r="O62" s="164" t="e">
        <f t="shared" ca="1" si="11"/>
        <v>#NAME?</v>
      </c>
      <c r="P62" s="221" t="e">
        <f t="shared" ca="1" si="12"/>
        <v>#NAME?</v>
      </c>
      <c r="Q62" s="221" t="e">
        <f t="shared" ca="1" si="13"/>
        <v>#NAME?</v>
      </c>
      <c r="R62" s="221" t="e">
        <f t="shared" ca="1" si="14"/>
        <v>#NAME?</v>
      </c>
      <c r="S62" s="221" t="e">
        <f t="shared" ca="1" si="15"/>
        <v>#NAME?</v>
      </c>
      <c r="T62" s="161">
        <v>1.5636699472017606</v>
      </c>
      <c r="U62" s="161">
        <v>-0.21619819867341283</v>
      </c>
      <c r="V62" s="161">
        <v>1.3316634357879269</v>
      </c>
      <c r="W62" s="161">
        <v>-0.57879738766488742</v>
      </c>
      <c r="X62" s="161">
        <v>0.48044121655416039</v>
      </c>
      <c r="Y62" s="161">
        <v>-8.3655611663993809E-2</v>
      </c>
      <c r="Z62" s="161">
        <v>-0.5272549149038358</v>
      </c>
      <c r="AA62" s="161">
        <v>-3.1055486355184001E-3</v>
      </c>
      <c r="AB62" s="154">
        <v>-0.31291441117946495</v>
      </c>
      <c r="AC62" s="154">
        <v>0</v>
      </c>
      <c r="AD62" s="154">
        <v>-7.9717408734105477E-5</v>
      </c>
      <c r="AE62" s="154">
        <v>5.9481408890477643E-2</v>
      </c>
      <c r="AF62" s="152">
        <v>-8.9906687074013759E-7</v>
      </c>
      <c r="AG62" s="161">
        <v>-9.5658780516821799E-7</v>
      </c>
      <c r="AH62" s="90"/>
      <c r="AK62" s="245"/>
      <c r="AL62" s="245"/>
      <c r="AM62" s="245"/>
      <c r="AN62" s="245"/>
      <c r="AO62" s="245"/>
      <c r="AP62" s="245"/>
      <c r="AQ62" s="245"/>
      <c r="AR62" s="245"/>
      <c r="AS62" s="245"/>
      <c r="AT62" s="245"/>
      <c r="AU62" s="245"/>
      <c r="AV62" s="245"/>
      <c r="AW62" s="241"/>
      <c r="AX62" s="241"/>
      <c r="AY62" s="243">
        <f t="shared" si="28"/>
        <v>0</v>
      </c>
      <c r="BA62" s="240">
        <f t="shared" si="29"/>
        <v>2005</v>
      </c>
      <c r="BB62" s="240">
        <f t="shared" si="30"/>
        <v>600</v>
      </c>
      <c r="BC62" s="240">
        <f t="shared" si="16"/>
        <v>10</v>
      </c>
      <c r="BD62" s="242">
        <f t="shared" si="31"/>
        <v>33.474489795917613</v>
      </c>
      <c r="BE62" s="242">
        <f t="shared" si="17"/>
        <v>668890.30612244899</v>
      </c>
      <c r="BF62" s="242">
        <f t="shared" si="18"/>
        <v>28617.361111111109</v>
      </c>
      <c r="BG62" s="243">
        <f t="shared" si="19"/>
        <v>1.0301671147805389</v>
      </c>
      <c r="BK62" s="215">
        <v>589.4900515295426</v>
      </c>
      <c r="BL62" s="216">
        <f t="shared" ca="1" si="20"/>
        <v>0.46562424063748509</v>
      </c>
      <c r="BM62" s="71">
        <f t="shared" ca="1" si="21"/>
        <v>1.5930082990889687</v>
      </c>
      <c r="BN62" s="215">
        <f t="shared" ca="1" si="22"/>
        <v>939.06254431694515</v>
      </c>
      <c r="BO62" s="71">
        <f t="shared" ca="1" si="23"/>
        <v>0.21680593346923463</v>
      </c>
      <c r="BT62" s="1"/>
      <c r="CB62" s="160"/>
      <c r="CC62" s="160"/>
      <c r="CD62" s="160"/>
    </row>
    <row r="63" spans="1:82" x14ac:dyDescent="0.2">
      <c r="A63" s="70"/>
      <c r="B63" s="275" t="s">
        <v>288</v>
      </c>
      <c r="C63" s="209">
        <v>2006</v>
      </c>
      <c r="D63" s="86">
        <v>600</v>
      </c>
      <c r="E63" s="86">
        <v>10</v>
      </c>
      <c r="F63" s="139">
        <f t="shared" si="24"/>
        <v>1</v>
      </c>
      <c r="G63" s="87">
        <v>328.53068436026797</v>
      </c>
      <c r="H63" s="138" t="e">
        <f t="shared" ca="1" si="25"/>
        <v>#NAME?</v>
      </c>
      <c r="I63" s="138">
        <v>0.1</v>
      </c>
      <c r="J63" s="166" t="e">
        <f t="shared" ca="1" si="26"/>
        <v>#NAME?</v>
      </c>
      <c r="K63" s="167" t="e">
        <f t="shared" ca="1" si="9"/>
        <v>#NAME?</v>
      </c>
      <c r="L63" s="160">
        <v>6.0233654334545972E-2</v>
      </c>
      <c r="M63" s="167" t="e">
        <f t="shared" ca="1" si="27"/>
        <v>#NAME?</v>
      </c>
      <c r="N63" s="167" t="e">
        <f t="shared" ca="1" si="10"/>
        <v>#NAME?</v>
      </c>
      <c r="O63" s="164" t="e">
        <f t="shared" ca="1" si="11"/>
        <v>#NAME?</v>
      </c>
      <c r="P63" s="221" t="e">
        <f t="shared" ca="1" si="12"/>
        <v>#NAME?</v>
      </c>
      <c r="Q63" s="221" t="e">
        <f t="shared" ca="1" si="13"/>
        <v>#NAME?</v>
      </c>
      <c r="R63" s="221" t="e">
        <f t="shared" ca="1" si="14"/>
        <v>#NAME?</v>
      </c>
      <c r="S63" s="221" t="e">
        <f t="shared" ca="1" si="15"/>
        <v>#NAME?</v>
      </c>
      <c r="T63" s="161">
        <v>1.5152608639530514</v>
      </c>
      <c r="U63" s="161">
        <v>-0.19634016842771138</v>
      </c>
      <c r="V63" s="161">
        <v>1.1874179676767</v>
      </c>
      <c r="W63" s="161">
        <v>-0.58628800472664566</v>
      </c>
      <c r="X63" s="161">
        <v>0.48852787018272348</v>
      </c>
      <c r="Y63" s="161">
        <v>-8.3939946430152831E-2</v>
      </c>
      <c r="Z63" s="161">
        <v>-0.52724462705932673</v>
      </c>
      <c r="AA63" s="161">
        <v>-3.1055486355186881E-3</v>
      </c>
      <c r="AB63" s="154">
        <v>-0.3134138584395299</v>
      </c>
      <c r="AC63" s="154">
        <v>0</v>
      </c>
      <c r="AD63" s="154">
        <v>-5.3887122276525569E-5</v>
      </c>
      <c r="AE63" s="154">
        <v>5.9456794776289248E-2</v>
      </c>
      <c r="AF63" s="152">
        <v>-6.1371659879907533E-7</v>
      </c>
      <c r="AG63" s="161">
        <v>-6.5991405636596565E-7</v>
      </c>
      <c r="AH63" s="90"/>
      <c r="AK63" s="245"/>
      <c r="AL63" s="245"/>
      <c r="AM63" s="245"/>
      <c r="AN63" s="245"/>
      <c r="AO63" s="245"/>
      <c r="AP63" s="245"/>
      <c r="AQ63" s="245"/>
      <c r="AR63" s="245"/>
      <c r="AS63" s="245"/>
      <c r="AT63" s="245"/>
      <c r="AU63" s="245"/>
      <c r="AV63" s="245"/>
      <c r="AW63" s="241"/>
      <c r="AX63" s="241"/>
      <c r="AY63" s="243">
        <f t="shared" si="28"/>
        <v>0</v>
      </c>
      <c r="BA63" s="240">
        <f t="shared" si="29"/>
        <v>2006</v>
      </c>
      <c r="BB63" s="240">
        <f t="shared" si="30"/>
        <v>600</v>
      </c>
      <c r="BC63" s="240">
        <f t="shared" si="16"/>
        <v>10</v>
      </c>
      <c r="BD63" s="242">
        <f t="shared" si="31"/>
        <v>46.045918367346054</v>
      </c>
      <c r="BE63" s="242">
        <f t="shared" si="17"/>
        <v>668890.30612244899</v>
      </c>
      <c r="BF63" s="242">
        <f t="shared" si="18"/>
        <v>28617.361111111109</v>
      </c>
      <c r="BG63" s="243">
        <f t="shared" si="19"/>
        <v>1.031426640667338</v>
      </c>
      <c r="BK63" s="215">
        <v>545.97930149432341</v>
      </c>
      <c r="BL63" s="216">
        <f t="shared" ca="1" si="20"/>
        <v>4.5733711181526915E-2</v>
      </c>
      <c r="BM63" s="71">
        <f t="shared" ca="1" si="21"/>
        <v>1.0467956238697795</v>
      </c>
      <c r="BN63" s="215">
        <f t="shared" ca="1" si="22"/>
        <v>571.52874352773676</v>
      </c>
      <c r="BO63" s="71">
        <f t="shared" ca="1" si="23"/>
        <v>2.0915723384353252E-3</v>
      </c>
      <c r="BT63" s="1"/>
      <c r="CB63" s="160"/>
      <c r="CC63" s="160"/>
      <c r="CD63" s="160"/>
    </row>
    <row r="64" spans="1:82" x14ac:dyDescent="0.2">
      <c r="A64" s="70"/>
      <c r="B64" s="275" t="s">
        <v>289</v>
      </c>
      <c r="C64" s="209">
        <v>1985</v>
      </c>
      <c r="D64" s="207">
        <v>600</v>
      </c>
      <c r="E64" s="207">
        <v>10</v>
      </c>
      <c r="F64" s="139">
        <f t="shared" si="24"/>
        <v>1</v>
      </c>
      <c r="G64" s="210">
        <v>2873.9490276911474</v>
      </c>
      <c r="H64" s="138" t="e">
        <f t="shared" ca="1" si="25"/>
        <v>#NAME?</v>
      </c>
      <c r="I64" s="138">
        <v>0.1</v>
      </c>
      <c r="J64" s="166" t="e">
        <f t="shared" ca="1" si="26"/>
        <v>#NAME?</v>
      </c>
      <c r="K64" s="167" t="e">
        <f t="shared" ca="1" si="9"/>
        <v>#NAME?</v>
      </c>
      <c r="L64" s="160">
        <v>0.12171748646481007</v>
      </c>
      <c r="M64" s="167" t="e">
        <f t="shared" ca="1" si="27"/>
        <v>#NAME?</v>
      </c>
      <c r="N64" s="167" t="e">
        <f t="shared" ca="1" si="10"/>
        <v>#NAME?</v>
      </c>
      <c r="O64" s="164" t="e">
        <f t="shared" ca="1" si="11"/>
        <v>#NAME?</v>
      </c>
      <c r="P64" s="221" t="e">
        <f t="shared" ca="1" si="12"/>
        <v>#NAME?</v>
      </c>
      <c r="Q64" s="221" t="e">
        <f t="shared" ca="1" si="13"/>
        <v>#NAME?</v>
      </c>
      <c r="R64" s="221" t="e">
        <f t="shared" ca="1" si="14"/>
        <v>#NAME?</v>
      </c>
      <c r="S64" s="221" t="e">
        <f t="shared" ca="1" si="15"/>
        <v>#NAME?</v>
      </c>
      <c r="T64" s="161">
        <v>2.3207841335854575</v>
      </c>
      <c r="U64" s="161">
        <v>-0.5565253104087261</v>
      </c>
      <c r="V64" s="161">
        <v>4.7212905780642647</v>
      </c>
      <c r="W64" s="161">
        <v>-0.43783835229143098</v>
      </c>
      <c r="X64" s="161">
        <v>0.34639485672402964</v>
      </c>
      <c r="Y64" s="161">
        <v>-8.9461910645178569E-2</v>
      </c>
      <c r="Z64" s="161">
        <v>-0.52742193375703839</v>
      </c>
      <c r="AA64" s="161">
        <v>-3.1055486355186881E-3</v>
      </c>
      <c r="AB64" s="154">
        <v>-0.30293522507529186</v>
      </c>
      <c r="AC64" s="154">
        <v>0</v>
      </c>
      <c r="AD64" s="154">
        <v>-0.28599656502406318</v>
      </c>
      <c r="AE64" s="154">
        <v>5.9879904818015264E-2</v>
      </c>
      <c r="AF64" s="152">
        <v>-2.192092790114261E-3</v>
      </c>
      <c r="AG64" s="161">
        <v>-2.0285151560573544E-3</v>
      </c>
      <c r="AH64" s="90"/>
      <c r="AK64" s="245"/>
      <c r="AL64" s="245"/>
      <c r="AM64" s="245"/>
      <c r="AN64" s="245"/>
      <c r="AO64" s="245"/>
      <c r="AP64" s="245"/>
      <c r="AQ64" s="245"/>
      <c r="AR64" s="245"/>
      <c r="AS64" s="245"/>
      <c r="AT64" s="245"/>
      <c r="AU64" s="245"/>
      <c r="AV64" s="245"/>
      <c r="AW64" s="241"/>
      <c r="AX64" s="241"/>
      <c r="AY64" s="243">
        <f t="shared" si="28"/>
        <v>0</v>
      </c>
      <c r="BA64" s="240">
        <f t="shared" si="29"/>
        <v>1985</v>
      </c>
      <c r="BB64" s="240">
        <f t="shared" si="30"/>
        <v>600</v>
      </c>
      <c r="BC64" s="240">
        <f t="shared" si="16"/>
        <v>10</v>
      </c>
      <c r="BD64" s="242">
        <f t="shared" si="31"/>
        <v>202.04591836734878</v>
      </c>
      <c r="BE64" s="242">
        <f t="shared" si="17"/>
        <v>668890.30612244899</v>
      </c>
      <c r="BF64" s="242">
        <f t="shared" si="18"/>
        <v>28617.361111111109</v>
      </c>
      <c r="BG64" s="243">
        <f t="shared" si="19"/>
        <v>1.0469301512182176</v>
      </c>
      <c r="BK64" s="215">
        <v>2112.8917855158465</v>
      </c>
      <c r="BL64" s="216">
        <f t="shared" ca="1" si="20"/>
        <v>0.47871838642710496</v>
      </c>
      <c r="BM64" s="71">
        <f t="shared" ca="1" si="21"/>
        <v>1.6140045459654695</v>
      </c>
      <c r="BN64" s="215">
        <f t="shared" ca="1" si="22"/>
        <v>3410.2169469556738</v>
      </c>
      <c r="BO64" s="71">
        <f t="shared" ca="1" si="23"/>
        <v>0.22917129350337093</v>
      </c>
      <c r="BT64" s="1"/>
      <c r="CB64" s="160"/>
      <c r="CC64" s="160"/>
      <c r="CD64" s="160"/>
    </row>
    <row r="65" spans="1:82" x14ac:dyDescent="0.2">
      <c r="A65" s="70"/>
      <c r="B65" s="275" t="s">
        <v>289</v>
      </c>
      <c r="C65" s="209">
        <v>1990</v>
      </c>
      <c r="D65" s="207">
        <v>1000</v>
      </c>
      <c r="E65" s="207">
        <v>200</v>
      </c>
      <c r="F65" s="139">
        <f t="shared" si="24"/>
        <v>1</v>
      </c>
      <c r="G65" s="210">
        <v>653.14386187581385</v>
      </c>
      <c r="H65" s="138" t="e">
        <f t="shared" ca="1" si="25"/>
        <v>#NAME?</v>
      </c>
      <c r="I65" s="138">
        <v>0.1</v>
      </c>
      <c r="J65" s="166" t="e">
        <f t="shared" ca="1" si="26"/>
        <v>#NAME?</v>
      </c>
      <c r="K65" s="167" t="e">
        <f t="shared" ca="1" si="9"/>
        <v>#NAME?</v>
      </c>
      <c r="L65" s="160">
        <v>4.9458765778567608E-2</v>
      </c>
      <c r="M65" s="167" t="e">
        <f t="shared" ca="1" si="27"/>
        <v>#NAME?</v>
      </c>
      <c r="N65" s="167" t="e">
        <f t="shared" ca="1" si="10"/>
        <v>#NAME?</v>
      </c>
      <c r="O65" s="164" t="e">
        <f t="shared" ca="1" si="11"/>
        <v>#NAME?</v>
      </c>
      <c r="P65" s="221" t="e">
        <f t="shared" ca="1" si="12"/>
        <v>#NAME?</v>
      </c>
      <c r="Q65" s="221" t="e">
        <f t="shared" ca="1" si="13"/>
        <v>#NAME?</v>
      </c>
      <c r="R65" s="221" t="e">
        <f t="shared" ca="1" si="14"/>
        <v>#NAME?</v>
      </c>
      <c r="S65" s="221" t="e">
        <f t="shared" ca="1" si="15"/>
        <v>#NAME?</v>
      </c>
      <c r="T65" s="161">
        <v>2.3449138591311582</v>
      </c>
      <c r="U65" s="161">
        <v>-0.567320837275191</v>
      </c>
      <c r="V65" s="161">
        <v>4.9014118123336337</v>
      </c>
      <c r="W65" s="161">
        <v>0.1329151138868131</v>
      </c>
      <c r="X65" s="161">
        <v>0.58815302944997039</v>
      </c>
      <c r="Y65" s="161">
        <v>-0.25295967564831456</v>
      </c>
      <c r="Z65" s="161">
        <v>0.51487744177696892</v>
      </c>
      <c r="AA65" s="161">
        <v>-3.1055486355186881E-3</v>
      </c>
      <c r="AB65" s="154">
        <v>-0.54601024739910331</v>
      </c>
      <c r="AC65" s="154">
        <v>-3.352122040420139E-4</v>
      </c>
      <c r="AD65" s="154">
        <v>-0.17101309555502603</v>
      </c>
      <c r="AE65" s="154">
        <v>-0.21115958136086871</v>
      </c>
      <c r="AF65" s="152">
        <v>-8.0443176773592941E-3</v>
      </c>
      <c r="AG65" s="161">
        <v>-7.2766138143197838E-3</v>
      </c>
      <c r="AH65" s="90"/>
      <c r="AK65" s="245"/>
      <c r="AL65" s="245"/>
      <c r="AM65" s="245"/>
      <c r="AN65" s="245"/>
      <c r="AO65" s="245"/>
      <c r="AP65" s="245"/>
      <c r="AQ65" s="245"/>
      <c r="AR65" s="245"/>
      <c r="AS65" s="245"/>
      <c r="AT65" s="245"/>
      <c r="AU65" s="245"/>
      <c r="AV65" s="245"/>
      <c r="AW65" s="241"/>
      <c r="AX65" s="241"/>
      <c r="AY65" s="243">
        <f t="shared" si="28"/>
        <v>0</v>
      </c>
      <c r="BA65" s="240">
        <f t="shared" si="29"/>
        <v>1990</v>
      </c>
      <c r="BB65" s="240">
        <f t="shared" si="30"/>
        <v>1000</v>
      </c>
      <c r="BC65" s="240">
        <f t="shared" si="16"/>
        <v>200</v>
      </c>
      <c r="BD65" s="242">
        <f t="shared" si="31"/>
        <v>84.903061224490997</v>
      </c>
      <c r="BE65" s="242">
        <f t="shared" si="17"/>
        <v>174604.59183673473</v>
      </c>
      <c r="BF65" s="242">
        <f t="shared" si="18"/>
        <v>434.02777777777817</v>
      </c>
      <c r="BG65" s="243">
        <f t="shared" si="19"/>
        <v>1.021813096774423</v>
      </c>
      <c r="BK65" s="215">
        <v>370.47385703215474</v>
      </c>
      <c r="BL65" s="216">
        <f t="shared" ca="1" si="20"/>
        <v>0.50265835417493809</v>
      </c>
      <c r="BM65" s="71">
        <f t="shared" ca="1" si="21"/>
        <v>1.6531099865694483</v>
      </c>
      <c r="BN65" s="215">
        <f t="shared" ca="1" si="22"/>
        <v>612.43403282275699</v>
      </c>
      <c r="BO65" s="71">
        <f t="shared" ca="1" si="23"/>
        <v>0.25266542102185752</v>
      </c>
      <c r="BT65" s="1"/>
      <c r="CB65" s="160"/>
      <c r="CC65" s="160"/>
      <c r="CD65" s="160"/>
    </row>
    <row r="66" spans="1:82" x14ac:dyDescent="0.2">
      <c r="A66" s="70"/>
      <c r="B66" s="275" t="s">
        <v>289</v>
      </c>
      <c r="C66" s="209">
        <v>1995</v>
      </c>
      <c r="D66" s="207">
        <v>1000</v>
      </c>
      <c r="E66" s="207">
        <v>200</v>
      </c>
      <c r="F66" s="139">
        <f t="shared" si="24"/>
        <v>1</v>
      </c>
      <c r="G66" s="210">
        <v>132.27447539739111</v>
      </c>
      <c r="H66" s="138" t="e">
        <f t="shared" ca="1" si="25"/>
        <v>#NAME?</v>
      </c>
      <c r="I66" s="138">
        <v>0.1</v>
      </c>
      <c r="J66" s="166" t="e">
        <f t="shared" ca="1" si="26"/>
        <v>#NAME?</v>
      </c>
      <c r="K66" s="167" t="e">
        <f t="shared" ca="1" si="9"/>
        <v>#NAME?</v>
      </c>
      <c r="L66" s="160">
        <v>5.36742527621994E-2</v>
      </c>
      <c r="M66" s="167" t="e">
        <f t="shared" ca="1" si="27"/>
        <v>#NAME?</v>
      </c>
      <c r="N66" s="167" t="e">
        <f t="shared" ca="1" si="10"/>
        <v>#NAME?</v>
      </c>
      <c r="O66" s="164" t="e">
        <f t="shared" ca="1" si="11"/>
        <v>#NAME?</v>
      </c>
      <c r="P66" s="221" t="e">
        <f t="shared" ca="1" si="12"/>
        <v>#NAME?</v>
      </c>
      <c r="Q66" s="221" t="e">
        <f t="shared" ca="1" si="13"/>
        <v>#NAME?</v>
      </c>
      <c r="R66" s="221" t="e">
        <f t="shared" ca="1" si="14"/>
        <v>#NAME?</v>
      </c>
      <c r="S66" s="221" t="e">
        <f t="shared" ca="1" si="15"/>
        <v>#NAME?</v>
      </c>
      <c r="T66" s="161">
        <v>2.1916301981324509</v>
      </c>
      <c r="U66" s="161">
        <v>-0.49256653046263743</v>
      </c>
      <c r="V66" s="161">
        <v>4.005616665768712</v>
      </c>
      <c r="W66" s="161">
        <v>-1.357223924648325E-2</v>
      </c>
      <c r="X66" s="161">
        <v>0.68271094272622368</v>
      </c>
      <c r="Y66" s="161">
        <v>-0.22806087977332731</v>
      </c>
      <c r="Z66" s="161">
        <v>0.50769459154842955</v>
      </c>
      <c r="AA66" s="161">
        <v>-3.1055486355184001E-3</v>
      </c>
      <c r="AB66" s="154">
        <v>-0.5554525442391941</v>
      </c>
      <c r="AC66" s="154">
        <v>-3.352122040420139E-4</v>
      </c>
      <c r="AD66" s="154">
        <v>-3.9989617088681116E-2</v>
      </c>
      <c r="AE66" s="154">
        <v>-0.20982046327467035</v>
      </c>
      <c r="AF66" s="152">
        <v>-1.5640886671328756E-3</v>
      </c>
      <c r="AG66" s="161">
        <v>-1.4255803461275835E-3</v>
      </c>
      <c r="AH66" s="90"/>
      <c r="AK66" s="245"/>
      <c r="AL66" s="245"/>
      <c r="AM66" s="245"/>
      <c r="AN66" s="245"/>
      <c r="AO66" s="245"/>
      <c r="AP66" s="245"/>
      <c r="AQ66" s="245"/>
      <c r="AR66" s="245"/>
      <c r="AS66" s="245"/>
      <c r="AT66" s="245"/>
      <c r="AU66" s="245"/>
      <c r="AV66" s="245"/>
      <c r="AW66" s="241"/>
      <c r="AX66" s="241"/>
      <c r="AY66" s="243">
        <f t="shared" si="28"/>
        <v>0</v>
      </c>
      <c r="BA66" s="240">
        <f t="shared" si="29"/>
        <v>1995</v>
      </c>
      <c r="BB66" s="240">
        <f t="shared" si="30"/>
        <v>1000</v>
      </c>
      <c r="BC66" s="240">
        <f t="shared" si="16"/>
        <v>200</v>
      </c>
      <c r="BD66" s="242">
        <f t="shared" si="31"/>
        <v>17.760204081633201</v>
      </c>
      <c r="BE66" s="242">
        <f t="shared" si="17"/>
        <v>174604.59183673473</v>
      </c>
      <c r="BF66" s="242">
        <f t="shared" si="18"/>
        <v>434.02777777777817</v>
      </c>
      <c r="BG66" s="243">
        <f t="shared" si="19"/>
        <v>1.0150042542827495</v>
      </c>
      <c r="BK66" s="215">
        <v>281.6922555834916</v>
      </c>
      <c r="BL66" s="216">
        <f t="shared" ca="1" si="20"/>
        <v>-0.58236447331767749</v>
      </c>
      <c r="BM66" s="71">
        <f t="shared" ca="1" si="21"/>
        <v>0.55857606570564999</v>
      </c>
      <c r="BN66" s="215">
        <f t="shared" ca="1" si="22"/>
        <v>157.34655186357716</v>
      </c>
      <c r="BO66" s="71">
        <f t="shared" ca="1" si="23"/>
        <v>0.33914837978257589</v>
      </c>
      <c r="BT66" s="1"/>
      <c r="CB66" s="160"/>
      <c r="CC66" s="160"/>
      <c r="CD66" s="160"/>
    </row>
    <row r="67" spans="1:82" x14ac:dyDescent="0.2">
      <c r="A67" s="70"/>
      <c r="B67" s="275" t="s">
        <v>289</v>
      </c>
      <c r="C67" s="209">
        <v>2000</v>
      </c>
      <c r="D67" s="207">
        <v>1000</v>
      </c>
      <c r="E67" s="207">
        <v>200</v>
      </c>
      <c r="F67" s="139">
        <f t="shared" si="24"/>
        <v>1</v>
      </c>
      <c r="G67" s="210">
        <v>101.64966992764822</v>
      </c>
      <c r="H67" s="138" t="e">
        <f t="shared" ca="1" si="25"/>
        <v>#NAME?</v>
      </c>
      <c r="I67" s="138">
        <v>0.1</v>
      </c>
      <c r="J67" s="166" t="e">
        <f t="shared" ca="1" si="26"/>
        <v>#NAME?</v>
      </c>
      <c r="K67" s="167" t="e">
        <f t="shared" ca="1" si="9"/>
        <v>#NAME?</v>
      </c>
      <c r="L67" s="160">
        <v>5.0980274378101917E-2</v>
      </c>
      <c r="M67" s="167" t="e">
        <f t="shared" ca="1" si="27"/>
        <v>#NAME?</v>
      </c>
      <c r="N67" s="167" t="e">
        <f t="shared" ca="1" si="10"/>
        <v>#NAME?</v>
      </c>
      <c r="O67" s="164" t="e">
        <f t="shared" ca="1" si="11"/>
        <v>#NAME?</v>
      </c>
      <c r="P67" s="221" t="e">
        <f t="shared" ca="1" si="12"/>
        <v>#NAME?</v>
      </c>
      <c r="Q67" s="221" t="e">
        <f t="shared" ca="1" si="13"/>
        <v>#NAME?</v>
      </c>
      <c r="R67" s="221" t="e">
        <f t="shared" ca="1" si="14"/>
        <v>#NAME?</v>
      </c>
      <c r="S67" s="221" t="e">
        <f t="shared" ca="1" si="15"/>
        <v>#NAME?</v>
      </c>
      <c r="T67" s="161">
        <v>2.0193006078920317</v>
      </c>
      <c r="U67" s="161">
        <v>-0.41203560712399179</v>
      </c>
      <c r="V67" s="161">
        <v>3.1277135246588648</v>
      </c>
      <c r="W67" s="161">
        <v>-8.7847882722063703E-2</v>
      </c>
      <c r="X67" s="161">
        <v>0.74179783800789845</v>
      </c>
      <c r="Y67" s="161">
        <v>-0.21272405818362622</v>
      </c>
      <c r="Z67" s="161">
        <v>0.50248061093821672</v>
      </c>
      <c r="AA67" s="161">
        <v>-3.1055486355184001E-3</v>
      </c>
      <c r="AB67" s="154">
        <v>-0.56033684857901944</v>
      </c>
      <c r="AC67" s="154">
        <v>-3.352122040420139E-4</v>
      </c>
      <c r="AD67" s="154">
        <v>-9.0318820980629863E-3</v>
      </c>
      <c r="AE67" s="154">
        <v>-0.20887705523235878</v>
      </c>
      <c r="AF67" s="152">
        <v>-2.8005385364689725E-4</v>
      </c>
      <c r="AG67" s="161">
        <v>-2.5990653568530261E-4</v>
      </c>
      <c r="AH67" s="90"/>
      <c r="AK67" s="245"/>
      <c r="AL67" s="245"/>
      <c r="AM67" s="245"/>
      <c r="AN67" s="245"/>
      <c r="AO67" s="245"/>
      <c r="AP67" s="245"/>
      <c r="AQ67" s="245"/>
      <c r="AR67" s="245"/>
      <c r="AS67" s="245"/>
      <c r="AT67" s="245"/>
      <c r="AU67" s="245"/>
      <c r="AV67" s="245"/>
      <c r="AW67" s="241"/>
      <c r="AX67" s="241"/>
      <c r="AY67" s="243">
        <f t="shared" si="28"/>
        <v>0</v>
      </c>
      <c r="BA67" s="240">
        <f t="shared" si="29"/>
        <v>2000</v>
      </c>
      <c r="BB67" s="240">
        <f t="shared" si="30"/>
        <v>1000</v>
      </c>
      <c r="BC67" s="240">
        <f t="shared" si="16"/>
        <v>200</v>
      </c>
      <c r="BD67" s="242">
        <f t="shared" si="31"/>
        <v>0.61734693877540814</v>
      </c>
      <c r="BE67" s="242">
        <f t="shared" si="17"/>
        <v>174604.59183673473</v>
      </c>
      <c r="BF67" s="242">
        <f t="shared" si="18"/>
        <v>434.02777777777817</v>
      </c>
      <c r="BG67" s="243">
        <f t="shared" si="19"/>
        <v>1.0132584942463922</v>
      </c>
      <c r="BK67" s="215">
        <v>209.24260503840807</v>
      </c>
      <c r="BL67" s="216">
        <f t="shared" ca="1" si="20"/>
        <v>-0.48216317450223284</v>
      </c>
      <c r="BM67" s="71">
        <f t="shared" ca="1" si="21"/>
        <v>0.61744630205120288</v>
      </c>
      <c r="BN67" s="215">
        <f t="shared" ca="1" si="22"/>
        <v>129.19607271252545</v>
      </c>
      <c r="BO67" s="71">
        <f t="shared" ca="1" si="23"/>
        <v>0.23248132684607059</v>
      </c>
      <c r="BT67" s="1"/>
      <c r="CB67" s="160"/>
      <c r="CC67" s="160"/>
      <c r="CD67" s="160"/>
    </row>
    <row r="68" spans="1:82" x14ac:dyDescent="0.2">
      <c r="A68" s="70"/>
      <c r="B68" s="275" t="s">
        <v>289</v>
      </c>
      <c r="C68" s="209">
        <v>2005</v>
      </c>
      <c r="D68" s="207">
        <v>1000</v>
      </c>
      <c r="E68" s="207">
        <v>200</v>
      </c>
      <c r="F68" s="139">
        <f t="shared" si="24"/>
        <v>1</v>
      </c>
      <c r="G68" s="210">
        <v>154.35600078486496</v>
      </c>
      <c r="H68" s="138" t="e">
        <f t="shared" ca="1" si="25"/>
        <v>#NAME?</v>
      </c>
      <c r="I68" s="138">
        <v>0.1</v>
      </c>
      <c r="J68" s="166" t="e">
        <f t="shared" ca="1" si="26"/>
        <v>#NAME?</v>
      </c>
      <c r="K68" s="167" t="e">
        <f t="shared" ca="1" si="9"/>
        <v>#NAME?</v>
      </c>
      <c r="L68" s="160">
        <v>5.1417050289288627E-2</v>
      </c>
      <c r="M68" s="167" t="e">
        <f t="shared" ca="1" si="27"/>
        <v>#NAME?</v>
      </c>
      <c r="N68" s="167" t="e">
        <f t="shared" ca="1" si="10"/>
        <v>#NAME?</v>
      </c>
      <c r="O68" s="164" t="e">
        <f t="shared" ca="1" si="11"/>
        <v>#NAME?</v>
      </c>
      <c r="P68" s="221" t="e">
        <f t="shared" ca="1" si="12"/>
        <v>#NAME?</v>
      </c>
      <c r="Q68" s="221" t="e">
        <f t="shared" ca="1" si="13"/>
        <v>#NAME?</v>
      </c>
      <c r="R68" s="221" t="e">
        <f t="shared" ca="1" si="14"/>
        <v>#NAME?</v>
      </c>
      <c r="S68" s="221" t="e">
        <f t="shared" ca="1" si="15"/>
        <v>#NAME?</v>
      </c>
      <c r="T68" s="161">
        <v>1.8258675077317073</v>
      </c>
      <c r="U68" s="161">
        <v>-0.32552693161035834</v>
      </c>
      <c r="V68" s="161">
        <v>2.2906015019815054</v>
      </c>
      <c r="W68" s="161">
        <v>-0.1463833014311455</v>
      </c>
      <c r="X68" s="161">
        <v>0.79951893528538664</v>
      </c>
      <c r="Y68" s="161">
        <v>-0.20238095524626823</v>
      </c>
      <c r="Z68" s="161">
        <v>0.49704017348388529</v>
      </c>
      <c r="AA68" s="161">
        <v>-3.1055486355186881E-3</v>
      </c>
      <c r="AB68" s="154">
        <v>-0.56413172946329571</v>
      </c>
      <c r="AC68" s="154">
        <v>-3.352122040420139E-4</v>
      </c>
      <c r="AD68" s="154">
        <v>-1.8264472214988212E-3</v>
      </c>
      <c r="AE68" s="154">
        <v>-0.20790242579635293</v>
      </c>
      <c r="AF68" s="152">
        <v>-4.7902060928579649E-5</v>
      </c>
      <c r="AG68" s="161">
        <v>-4.5708314338390559E-5</v>
      </c>
      <c r="AH68" s="90"/>
      <c r="AK68" s="245"/>
      <c r="AL68" s="245"/>
      <c r="AM68" s="245"/>
      <c r="AN68" s="245"/>
      <c r="AO68" s="245"/>
      <c r="AP68" s="245"/>
      <c r="AQ68" s="245"/>
      <c r="AR68" s="245"/>
      <c r="AS68" s="245"/>
      <c r="AT68" s="245"/>
      <c r="AU68" s="245"/>
      <c r="AV68" s="245"/>
      <c r="AW68" s="241"/>
      <c r="AX68" s="241"/>
      <c r="AY68" s="243">
        <f t="shared" si="28"/>
        <v>0</v>
      </c>
      <c r="BA68" s="240">
        <f t="shared" si="29"/>
        <v>2005</v>
      </c>
      <c r="BB68" s="240">
        <f t="shared" si="30"/>
        <v>1000</v>
      </c>
      <c r="BC68" s="240">
        <f t="shared" si="16"/>
        <v>200</v>
      </c>
      <c r="BD68" s="242">
        <f t="shared" si="31"/>
        <v>33.474489795917613</v>
      </c>
      <c r="BE68" s="242">
        <f t="shared" si="17"/>
        <v>174604.59183673473</v>
      </c>
      <c r="BF68" s="242">
        <f t="shared" si="18"/>
        <v>434.02777777777817</v>
      </c>
      <c r="BG68" s="243">
        <f t="shared" si="19"/>
        <v>1.0166019007413341</v>
      </c>
      <c r="BK68" s="215">
        <v>151.53342338159123</v>
      </c>
      <c r="BL68" s="216">
        <f t="shared" ca="1" si="20"/>
        <v>8.3354649026029293E-2</v>
      </c>
      <c r="BM68" s="71">
        <f t="shared" ca="1" si="21"/>
        <v>1.0869272178808624</v>
      </c>
      <c r="BN68" s="215">
        <f t="shared" ca="1" si="22"/>
        <v>164.70580229211578</v>
      </c>
      <c r="BO68" s="71">
        <f t="shared" ca="1" si="23"/>
        <v>6.9479975142525303E-3</v>
      </c>
      <c r="BT68" s="1"/>
      <c r="CB68" s="160"/>
      <c r="CC68" s="160"/>
      <c r="CD68" s="160"/>
    </row>
    <row r="69" spans="1:82" x14ac:dyDescent="0.2">
      <c r="A69" s="70"/>
      <c r="B69" s="275" t="s">
        <v>289</v>
      </c>
      <c r="C69" s="209">
        <v>2006</v>
      </c>
      <c r="D69" s="207">
        <v>1000</v>
      </c>
      <c r="E69" s="207">
        <v>200</v>
      </c>
      <c r="F69" s="139">
        <f t="shared" si="24"/>
        <v>1</v>
      </c>
      <c r="G69" s="87">
        <v>162.82321911654017</v>
      </c>
      <c r="H69" s="138" t="e">
        <f t="shared" ca="1" si="25"/>
        <v>#NAME?</v>
      </c>
      <c r="I69" s="138">
        <v>0.1</v>
      </c>
      <c r="J69" s="166" t="e">
        <f t="shared" ca="1" si="26"/>
        <v>#NAME?</v>
      </c>
      <c r="K69" s="167" t="e">
        <f t="shared" ca="1" si="9"/>
        <v>#NAME?</v>
      </c>
      <c r="L69" s="160">
        <v>5.2451095136150344E-2</v>
      </c>
      <c r="M69" s="167" t="e">
        <f t="shared" ca="1" si="27"/>
        <v>#NAME?</v>
      </c>
      <c r="N69" s="167" t="e">
        <f t="shared" ca="1" si="10"/>
        <v>#NAME?</v>
      </c>
      <c r="O69" s="164" t="e">
        <f t="shared" ca="1" si="11"/>
        <v>#NAME?</v>
      </c>
      <c r="P69" s="221" t="e">
        <f t="shared" ca="1" si="12"/>
        <v>#NAME?</v>
      </c>
      <c r="Q69" s="221" t="e">
        <f t="shared" ca="1" si="13"/>
        <v>#NAME?</v>
      </c>
      <c r="R69" s="221" t="e">
        <f t="shared" ca="1" si="14"/>
        <v>#NAME?</v>
      </c>
      <c r="S69" s="221" t="e">
        <f t="shared" ca="1" si="15"/>
        <v>#NAME?</v>
      </c>
      <c r="T69" s="161">
        <v>1.7843424570929083</v>
      </c>
      <c r="U69" s="161">
        <v>-0.30744728636796792</v>
      </c>
      <c r="V69" s="161">
        <v>2.1297107833883091</v>
      </c>
      <c r="W69" s="161">
        <v>-0.15806914620306353</v>
      </c>
      <c r="X69" s="161">
        <v>0.81180289444467557</v>
      </c>
      <c r="Y69" s="161">
        <v>-0.20062833790937257</v>
      </c>
      <c r="Z69" s="161">
        <v>0.49587033920150458</v>
      </c>
      <c r="AA69" s="161">
        <v>-3.1055486355184001E-3</v>
      </c>
      <c r="AB69" s="154">
        <v>-0.56488314120341132</v>
      </c>
      <c r="AC69" s="154">
        <v>-3.352122040420139E-4</v>
      </c>
      <c r="AD69" s="154">
        <v>-1.3100749839415359E-3</v>
      </c>
      <c r="AE69" s="154">
        <v>-0.2076932088329031</v>
      </c>
      <c r="AF69" s="152">
        <v>-3.3548259203395331E-5</v>
      </c>
      <c r="AG69" s="161">
        <v>-3.2227131446231512E-5</v>
      </c>
      <c r="AH69" s="90"/>
      <c r="AK69" s="245"/>
      <c r="AL69" s="245"/>
      <c r="AM69" s="245"/>
      <c r="AN69" s="245"/>
      <c r="AO69" s="245"/>
      <c r="AP69" s="245"/>
      <c r="AQ69" s="245"/>
      <c r="AR69" s="245"/>
      <c r="AS69" s="245"/>
      <c r="AT69" s="245"/>
      <c r="AU69" s="245"/>
      <c r="AV69" s="245"/>
      <c r="AW69" s="241"/>
      <c r="AX69" s="241"/>
      <c r="AY69" s="243">
        <f t="shared" si="28"/>
        <v>0</v>
      </c>
      <c r="BA69" s="240">
        <f t="shared" si="29"/>
        <v>2006</v>
      </c>
      <c r="BB69" s="240">
        <f t="shared" si="30"/>
        <v>1000</v>
      </c>
      <c r="BC69" s="240">
        <f t="shared" si="16"/>
        <v>200</v>
      </c>
      <c r="BD69" s="242">
        <f t="shared" si="31"/>
        <v>46.045918367346054</v>
      </c>
      <c r="BE69" s="242">
        <f t="shared" si="17"/>
        <v>174604.59183673473</v>
      </c>
      <c r="BF69" s="242">
        <f t="shared" si="18"/>
        <v>434.02777777777817</v>
      </c>
      <c r="BG69" s="243">
        <f t="shared" si="19"/>
        <v>1.0178782124075274</v>
      </c>
      <c r="BK69" s="215">
        <v>141.58208877660843</v>
      </c>
      <c r="BL69" s="216">
        <f t="shared" ca="1" si="20"/>
        <v>-0.25023959927464678</v>
      </c>
      <c r="BM69" s="71">
        <f t="shared" ca="1" si="21"/>
        <v>0.77861420532152592</v>
      </c>
      <c r="BN69" s="215">
        <f t="shared" ca="1" si="22"/>
        <v>110.23782554056071</v>
      </c>
      <c r="BO69" s="71">
        <f t="shared" ca="1" si="23"/>
        <v>6.2619857045135827E-2</v>
      </c>
      <c r="BT69" s="1"/>
      <c r="CB69" s="160"/>
      <c r="CC69" s="160"/>
      <c r="CD69" s="160"/>
    </row>
    <row r="70" spans="1:82" x14ac:dyDescent="0.2">
      <c r="A70" s="70"/>
      <c r="B70" s="275" t="s">
        <v>290</v>
      </c>
      <c r="C70" s="209">
        <v>1985</v>
      </c>
      <c r="D70" s="86">
        <v>1500</v>
      </c>
      <c r="E70" s="86">
        <v>300</v>
      </c>
      <c r="F70" s="139">
        <f t="shared" si="24"/>
        <v>1</v>
      </c>
      <c r="G70" s="87">
        <v>179.99687190186532</v>
      </c>
      <c r="H70" s="138" t="e">
        <f t="shared" ca="1" si="25"/>
        <v>#NAME?</v>
      </c>
      <c r="I70" s="138">
        <v>0.1</v>
      </c>
      <c r="J70" s="166" t="e">
        <f t="shared" ca="1" si="26"/>
        <v>#NAME?</v>
      </c>
      <c r="K70" s="167" t="e">
        <f t="shared" ca="1" si="9"/>
        <v>#NAME?</v>
      </c>
      <c r="L70" s="160">
        <v>0.19874228961628879</v>
      </c>
      <c r="M70" s="167" t="e">
        <f t="shared" ca="1" si="27"/>
        <v>#NAME?</v>
      </c>
      <c r="N70" s="167" t="e">
        <f t="shared" ca="1" si="10"/>
        <v>#NAME?</v>
      </c>
      <c r="O70" s="164" t="e">
        <f t="shared" ca="1" si="11"/>
        <v>#NAME?</v>
      </c>
      <c r="P70" s="221" t="e">
        <f t="shared" ca="1" si="12"/>
        <v>#NAME?</v>
      </c>
      <c r="Q70" s="221" t="e">
        <f t="shared" ca="1" si="13"/>
        <v>#NAME?</v>
      </c>
      <c r="R70" s="221" t="e">
        <f t="shared" ca="1" si="14"/>
        <v>#NAME?</v>
      </c>
      <c r="S70" s="221" t="e">
        <f t="shared" ca="1" si="15"/>
        <v>#NAME?</v>
      </c>
      <c r="T70" s="161">
        <v>2.5900893275441899</v>
      </c>
      <c r="U70" s="161">
        <v>-0.6941965560495994</v>
      </c>
      <c r="V70" s="161">
        <v>6.5797370457519975</v>
      </c>
      <c r="W70" s="161">
        <v>3.0462335232521953</v>
      </c>
      <c r="X70" s="161">
        <v>-0.93468937565051036</v>
      </c>
      <c r="Y70" s="161">
        <v>-0.32437785759694371</v>
      </c>
      <c r="Z70" s="161">
        <v>1.2182474046636593</v>
      </c>
      <c r="AA70" s="161">
        <v>-3.1055486355186881E-3</v>
      </c>
      <c r="AB70" s="154">
        <v>-0.43826859518446831</v>
      </c>
      <c r="AC70" s="154">
        <v>-0.18746500714586037</v>
      </c>
      <c r="AD70" s="154">
        <v>-0.46757795174529893</v>
      </c>
      <c r="AE70" s="154">
        <v>-0.35355112017236828</v>
      </c>
      <c r="AF70" s="152">
        <v>-0.1839485458060921</v>
      </c>
      <c r="AG70" s="161">
        <v>-0.16779458261032307</v>
      </c>
      <c r="AH70" s="90"/>
      <c r="AK70" s="245"/>
      <c r="AL70" s="245"/>
      <c r="AM70" s="245"/>
      <c r="AN70" s="245"/>
      <c r="AO70" s="245"/>
      <c r="AP70" s="245"/>
      <c r="AQ70" s="245"/>
      <c r="AR70" s="245"/>
      <c r="AS70" s="245"/>
      <c r="AT70" s="245"/>
      <c r="AU70" s="245"/>
      <c r="AV70" s="245"/>
      <c r="AW70" s="241"/>
      <c r="AX70" s="241"/>
      <c r="AY70" s="243">
        <f t="shared" si="28"/>
        <v>0</v>
      </c>
      <c r="BA70" s="240">
        <f t="shared" si="29"/>
        <v>1985</v>
      </c>
      <c r="BB70" s="240">
        <f t="shared" si="30"/>
        <v>1500</v>
      </c>
      <c r="BC70" s="240">
        <f t="shared" si="16"/>
        <v>300</v>
      </c>
      <c r="BD70" s="242">
        <f t="shared" si="31"/>
        <v>202.04591836734878</v>
      </c>
      <c r="BE70" s="242">
        <f t="shared" si="17"/>
        <v>6747.4489795918316</v>
      </c>
      <c r="BF70" s="242">
        <f t="shared" si="18"/>
        <v>14600.694444444447</v>
      </c>
      <c r="BG70" s="243">
        <f t="shared" si="19"/>
        <v>1.0375211143972864</v>
      </c>
      <c r="BK70" s="215">
        <v>114.5734951835132</v>
      </c>
      <c r="BL70" s="216">
        <f t="shared" ca="1" si="20"/>
        <v>-0.67634659463305735</v>
      </c>
      <c r="BM70" s="71">
        <f t="shared" ca="1" si="21"/>
        <v>0.50847125472805565</v>
      </c>
      <c r="BN70" s="215">
        <f t="shared" ca="1" si="22"/>
        <v>58.2573288545398</v>
      </c>
      <c r="BO70" s="71">
        <f t="shared" ca="1" si="23"/>
        <v>0.4574447160717332</v>
      </c>
      <c r="BT70" s="1"/>
      <c r="CB70" s="160"/>
      <c r="CC70" s="160"/>
      <c r="CD70" s="160"/>
    </row>
    <row r="71" spans="1:82" x14ac:dyDescent="0.2">
      <c r="A71" s="70"/>
      <c r="B71" s="275" t="s">
        <v>290</v>
      </c>
      <c r="C71" s="209">
        <v>1990</v>
      </c>
      <c r="D71" s="86">
        <v>1500</v>
      </c>
      <c r="E71" s="86">
        <v>300</v>
      </c>
      <c r="F71" s="139">
        <f t="shared" si="24"/>
        <v>1</v>
      </c>
      <c r="G71" s="87">
        <v>80.754362037917076</v>
      </c>
      <c r="H71" s="138" t="e">
        <f t="shared" ca="1" si="25"/>
        <v>#NAME?</v>
      </c>
      <c r="I71" s="138">
        <v>0.1</v>
      </c>
      <c r="J71" s="166" t="e">
        <f t="shared" ca="1" si="26"/>
        <v>#NAME?</v>
      </c>
      <c r="K71" s="167" t="e">
        <f t="shared" ca="1" si="9"/>
        <v>#NAME?</v>
      </c>
      <c r="L71" s="160">
        <v>0.19035860907110644</v>
      </c>
      <c r="M71" s="167" t="e">
        <f t="shared" ca="1" si="27"/>
        <v>#NAME?</v>
      </c>
      <c r="N71" s="167" t="e">
        <f t="shared" ca="1" si="10"/>
        <v>#NAME?</v>
      </c>
      <c r="O71" s="164" t="e">
        <f t="shared" ca="1" si="11"/>
        <v>#NAME?</v>
      </c>
      <c r="P71" s="221" t="e">
        <f t="shared" ca="1" si="12"/>
        <v>#NAME?</v>
      </c>
      <c r="Q71" s="221" t="e">
        <f t="shared" ca="1" si="13"/>
        <v>#NAME?</v>
      </c>
      <c r="R71" s="221" t="e">
        <f t="shared" ca="1" si="14"/>
        <v>#NAME?</v>
      </c>
      <c r="S71" s="221" t="e">
        <f t="shared" ca="1" si="15"/>
        <v>#NAME?</v>
      </c>
      <c r="T71" s="161">
        <v>2.4983103314979624</v>
      </c>
      <c r="U71" s="161">
        <v>-0.64498633947597039</v>
      </c>
      <c r="V71" s="161">
        <v>5.9286590487366055</v>
      </c>
      <c r="W71" s="161">
        <v>1.5316670908040069</v>
      </c>
      <c r="X71" s="161">
        <v>0.35890205792535612</v>
      </c>
      <c r="Y71" s="161">
        <v>-0.3147033335714397</v>
      </c>
      <c r="Z71" s="161">
        <v>1.0986810971448424</v>
      </c>
      <c r="AA71" s="161">
        <v>-3.1055486355186881E-3</v>
      </c>
      <c r="AB71" s="154">
        <v>-0.51277832431628001</v>
      </c>
      <c r="AC71" s="154">
        <v>-0.18746500714586004</v>
      </c>
      <c r="AD71" s="154">
        <v>-0.46831635389925902</v>
      </c>
      <c r="AE71" s="154">
        <v>-0.3309807596923296</v>
      </c>
      <c r="AF71" s="152">
        <v>-6.3154907328987681E-2</v>
      </c>
      <c r="AG71" s="161">
        <v>-5.676195479824634E-2</v>
      </c>
      <c r="AH71" s="90"/>
      <c r="AK71" s="245"/>
      <c r="AL71" s="245"/>
      <c r="AM71" s="245"/>
      <c r="AN71" s="245"/>
      <c r="AO71" s="245"/>
      <c r="AP71" s="245"/>
      <c r="AQ71" s="245"/>
      <c r="AR71" s="245"/>
      <c r="AS71" s="245"/>
      <c r="AT71" s="245"/>
      <c r="AU71" s="245"/>
      <c r="AV71" s="245"/>
      <c r="AW71" s="241"/>
      <c r="AX71" s="241"/>
      <c r="AY71" s="245"/>
      <c r="BA71" s="240">
        <f t="shared" si="29"/>
        <v>1990</v>
      </c>
      <c r="BB71" s="240">
        <f t="shared" si="30"/>
        <v>1500</v>
      </c>
      <c r="BC71" s="240">
        <f t="shared" si="16"/>
        <v>300</v>
      </c>
      <c r="BD71" s="242">
        <f t="shared" si="31"/>
        <v>84.903061224490997</v>
      </c>
      <c r="BE71" s="242">
        <f t="shared" si="17"/>
        <v>6747.4489795918316</v>
      </c>
      <c r="BF71" s="242">
        <f t="shared" si="18"/>
        <v>14600.694444444447</v>
      </c>
      <c r="BG71" s="243">
        <f t="shared" si="19"/>
        <v>1.0257944169347433</v>
      </c>
      <c r="BK71" s="215">
        <v>103.35144323562747</v>
      </c>
      <c r="BL71" s="216">
        <f t="shared" ca="1" si="20"/>
        <v>7.9733808981800047E-2</v>
      </c>
      <c r="BM71" s="71">
        <f t="shared" ca="1" si="21"/>
        <v>1.0829987447635985</v>
      </c>
      <c r="BN71" s="215">
        <f t="shared" ca="1" si="22"/>
        <v>111.92948329369085</v>
      </c>
      <c r="BO71" s="71">
        <f t="shared" ca="1" si="23"/>
        <v>6.3574802947461775E-3</v>
      </c>
      <c r="BT71" s="1"/>
      <c r="CB71" s="160"/>
      <c r="CC71" s="160"/>
      <c r="CD71" s="160"/>
    </row>
    <row r="72" spans="1:82" x14ac:dyDescent="0.2">
      <c r="A72" s="70"/>
      <c r="B72" s="275" t="s">
        <v>290</v>
      </c>
      <c r="C72" s="209">
        <v>1995</v>
      </c>
      <c r="D72" s="86">
        <v>1500</v>
      </c>
      <c r="E72" s="86">
        <v>300</v>
      </c>
      <c r="F72" s="139">
        <f t="shared" si="24"/>
        <v>1</v>
      </c>
      <c r="G72" s="87">
        <v>99.434238636996554</v>
      </c>
      <c r="H72" s="138" t="e">
        <f t="shared" ca="1" si="25"/>
        <v>#NAME?</v>
      </c>
      <c r="I72" s="138">
        <v>0.1</v>
      </c>
      <c r="J72" s="166" t="e">
        <f t="shared" ca="1" si="26"/>
        <v>#NAME?</v>
      </c>
      <c r="K72" s="167" t="e">
        <f t="shared" ca="1" si="9"/>
        <v>#NAME?</v>
      </c>
      <c r="L72" s="160">
        <v>6.2084807495854391E-2</v>
      </c>
      <c r="M72" s="167" t="e">
        <f t="shared" ca="1" si="27"/>
        <v>#NAME?</v>
      </c>
      <c r="N72" s="167" t="e">
        <f t="shared" ca="1" si="10"/>
        <v>#NAME?</v>
      </c>
      <c r="O72" s="164" t="e">
        <f t="shared" ca="1" si="11"/>
        <v>#NAME?</v>
      </c>
      <c r="P72" s="221" t="e">
        <f t="shared" ca="1" si="12"/>
        <v>#NAME?</v>
      </c>
      <c r="Q72" s="221" t="e">
        <f t="shared" ca="1" si="13"/>
        <v>#NAME?</v>
      </c>
      <c r="R72" s="221" t="e">
        <f t="shared" ca="1" si="14"/>
        <v>#NAME?</v>
      </c>
      <c r="S72" s="221" t="e">
        <f t="shared" ca="1" si="15"/>
        <v>#NAME?</v>
      </c>
      <c r="T72" s="161">
        <v>2.3764840026903267</v>
      </c>
      <c r="U72" s="161">
        <v>-0.58207077782267269</v>
      </c>
      <c r="V72" s="161">
        <v>5.1274055109231904</v>
      </c>
      <c r="W72" s="161">
        <v>0.76512278093715824</v>
      </c>
      <c r="X72" s="161">
        <v>0.90315381928619531</v>
      </c>
      <c r="Y72" s="161">
        <v>-0.2748310486620768</v>
      </c>
      <c r="Z72" s="161">
        <v>1.0550187535954607</v>
      </c>
      <c r="AA72" s="161">
        <v>-3.1055486355186881E-3</v>
      </c>
      <c r="AB72" s="154">
        <v>-0.55425046348509055</v>
      </c>
      <c r="AC72" s="154">
        <v>-0.18746500714586037</v>
      </c>
      <c r="AD72" s="154">
        <v>-0.16206915092574495</v>
      </c>
      <c r="AE72" s="154">
        <v>-0.32260481776907202</v>
      </c>
      <c r="AF72" s="152">
        <v>-1.9071532299425441E-2</v>
      </c>
      <c r="AG72" s="161">
        <v>-1.6927296609248178E-2</v>
      </c>
      <c r="AH72" s="90"/>
      <c r="AK72" s="245"/>
      <c r="AL72" s="245"/>
      <c r="AM72" s="245"/>
      <c r="AN72" s="245"/>
      <c r="AO72" s="245"/>
      <c r="AP72" s="245"/>
      <c r="AQ72" s="245"/>
      <c r="AR72" s="245"/>
      <c r="AS72" s="245"/>
      <c r="AT72" s="245"/>
      <c r="AU72" s="245"/>
      <c r="AV72" s="245"/>
      <c r="AW72" s="241"/>
      <c r="AX72" s="241"/>
      <c r="AY72" s="245"/>
      <c r="BA72" s="240">
        <f t="shared" si="29"/>
        <v>1995</v>
      </c>
      <c r="BB72" s="240">
        <f t="shared" si="30"/>
        <v>1500</v>
      </c>
      <c r="BC72" s="240">
        <f t="shared" si="16"/>
        <v>300</v>
      </c>
      <c r="BD72" s="242">
        <f t="shared" si="31"/>
        <v>17.760204081633201</v>
      </c>
      <c r="BE72" s="242">
        <f t="shared" si="17"/>
        <v>6747.4489795918316</v>
      </c>
      <c r="BF72" s="242">
        <f t="shared" si="18"/>
        <v>14600.694444444447</v>
      </c>
      <c r="BG72" s="243">
        <f t="shared" si="19"/>
        <v>1.0190121772024288</v>
      </c>
      <c r="BK72" s="215">
        <v>83.138653419845255</v>
      </c>
      <c r="BL72" s="216">
        <f t="shared" ca="1" si="20"/>
        <v>0.21370100468367625</v>
      </c>
      <c r="BM72" s="71">
        <f t="shared" ca="1" si="21"/>
        <v>1.2382523677807764</v>
      </c>
      <c r="BN72" s="215">
        <f t="shared" ca="1" si="22"/>
        <v>102.94663445122873</v>
      </c>
      <c r="BO72" s="71">
        <f t="shared" ca="1" si="23"/>
        <v>4.5668119402812631E-2</v>
      </c>
      <c r="BT72" s="1"/>
      <c r="CB72" s="160"/>
      <c r="CC72" s="160"/>
      <c r="CD72" s="160"/>
    </row>
    <row r="73" spans="1:82" x14ac:dyDescent="0.2">
      <c r="A73" s="70"/>
      <c r="B73" s="275" t="s">
        <v>290</v>
      </c>
      <c r="C73" s="209">
        <v>2000</v>
      </c>
      <c r="D73" s="86">
        <v>1500</v>
      </c>
      <c r="E73" s="86">
        <v>300</v>
      </c>
      <c r="F73" s="139">
        <f t="shared" si="24"/>
        <v>1</v>
      </c>
      <c r="G73" s="87">
        <v>54.393283985657703</v>
      </c>
      <c r="H73" s="138" t="e">
        <f t="shared" ca="1" si="25"/>
        <v>#NAME?</v>
      </c>
      <c r="I73" s="138">
        <v>0.1</v>
      </c>
      <c r="J73" s="166" t="e">
        <f t="shared" ca="1" si="26"/>
        <v>#NAME?</v>
      </c>
      <c r="K73" s="167" t="e">
        <f t="shared" ca="1" si="9"/>
        <v>#NAME?</v>
      </c>
      <c r="L73" s="160">
        <v>6.869642147303838E-2</v>
      </c>
      <c r="M73" s="167" t="e">
        <f t="shared" ca="1" si="27"/>
        <v>#NAME?</v>
      </c>
      <c r="N73" s="167" t="e">
        <f t="shared" ca="1" si="10"/>
        <v>#NAME?</v>
      </c>
      <c r="O73" s="164" t="e">
        <f t="shared" ca="1" si="11"/>
        <v>#NAME?</v>
      </c>
      <c r="P73" s="221" t="e">
        <f t="shared" ca="1" si="12"/>
        <v>#NAME?</v>
      </c>
      <c r="Q73" s="221" t="e">
        <f t="shared" ca="1" si="13"/>
        <v>#NAME?</v>
      </c>
      <c r="R73" s="221" t="e">
        <f t="shared" ca="1" si="14"/>
        <v>#NAME?</v>
      </c>
      <c r="S73" s="221" t="e">
        <f t="shared" ca="1" si="15"/>
        <v>#NAME?</v>
      </c>
      <c r="T73" s="161">
        <v>2.2307568885503084</v>
      </c>
      <c r="U73" s="161">
        <v>-0.50995714125972058</v>
      </c>
      <c r="V73" s="161">
        <v>4.2591847385828965</v>
      </c>
      <c r="W73" s="161">
        <v>0.4090449624103617</v>
      </c>
      <c r="X73" s="161">
        <v>1.117766839956523</v>
      </c>
      <c r="Y73" s="161">
        <v>-0.24092283411300944</v>
      </c>
      <c r="Z73" s="161">
        <v>1.0386499940693268</v>
      </c>
      <c r="AA73" s="161">
        <v>-3.1055486355186881E-3</v>
      </c>
      <c r="AB73" s="154">
        <v>-0.57461041274586788</v>
      </c>
      <c r="AC73" s="154">
        <v>-0.18746500714586037</v>
      </c>
      <c r="AD73" s="154">
        <v>-5.3680640959107059E-2</v>
      </c>
      <c r="AE73" s="154">
        <v>-0.31948016609498375</v>
      </c>
      <c r="AF73" s="152">
        <v>-4.9833803816453246E-3</v>
      </c>
      <c r="AG73" s="161">
        <v>-4.4000353177638708E-3</v>
      </c>
      <c r="AH73" s="90"/>
      <c r="AK73" s="245"/>
      <c r="AL73" s="245"/>
      <c r="AM73" s="245"/>
      <c r="AN73" s="245"/>
      <c r="AO73" s="245"/>
      <c r="AP73" s="245"/>
      <c r="AQ73" s="245"/>
      <c r="AR73" s="245"/>
      <c r="AS73" s="245"/>
      <c r="AT73" s="245"/>
      <c r="AU73" s="245"/>
      <c r="AV73" s="245"/>
      <c r="AW73" s="241"/>
      <c r="AX73" s="241"/>
      <c r="AY73" s="245"/>
      <c r="BA73" s="240">
        <f t="shared" si="29"/>
        <v>2000</v>
      </c>
      <c r="BB73" s="240">
        <f t="shared" si="30"/>
        <v>1500</v>
      </c>
      <c r="BC73" s="240">
        <f t="shared" si="16"/>
        <v>300</v>
      </c>
      <c r="BD73" s="242">
        <f t="shared" si="31"/>
        <v>0.61734693877540814</v>
      </c>
      <c r="BE73" s="242">
        <f t="shared" si="17"/>
        <v>6747.4489795918316</v>
      </c>
      <c r="BF73" s="242">
        <f t="shared" si="18"/>
        <v>14600.694444444447</v>
      </c>
      <c r="BG73" s="243">
        <f t="shared" si="19"/>
        <v>1.0172732952541415</v>
      </c>
      <c r="BK73" s="215">
        <v>63.987614314174621</v>
      </c>
      <c r="BL73" s="216">
        <f t="shared" ca="1" si="20"/>
        <v>-0.70110816810315657</v>
      </c>
      <c r="BM73" s="71">
        <f t="shared" ca="1" si="21"/>
        <v>0.49603530859710171</v>
      </c>
      <c r="BN73" s="215">
        <f t="shared" ca="1" si="22"/>
        <v>31.740116012723931</v>
      </c>
      <c r="BO73" s="71">
        <f t="shared" ca="1" si="23"/>
        <v>0.49155266338096404</v>
      </c>
      <c r="BT73" s="1"/>
      <c r="CB73" s="160"/>
      <c r="CC73" s="160"/>
      <c r="CD73" s="160"/>
    </row>
    <row r="74" spans="1:82" x14ac:dyDescent="0.2">
      <c r="A74" s="70"/>
      <c r="B74" s="275" t="s">
        <v>290</v>
      </c>
      <c r="C74" s="209">
        <v>2005</v>
      </c>
      <c r="D74" s="86">
        <v>1500</v>
      </c>
      <c r="E74" s="86">
        <v>300</v>
      </c>
      <c r="F74" s="139">
        <f t="shared" si="24"/>
        <v>1</v>
      </c>
      <c r="G74" s="87">
        <v>29.708637133991484</v>
      </c>
      <c r="H74" s="138" t="e">
        <f t="shared" ca="1" si="25"/>
        <v>#NAME?</v>
      </c>
      <c r="I74" s="138">
        <v>0.1</v>
      </c>
      <c r="J74" s="166" t="e">
        <f t="shared" ca="1" si="26"/>
        <v>#NAME?</v>
      </c>
      <c r="K74" s="167" t="e">
        <f t="shared" ca="1" si="9"/>
        <v>#NAME?</v>
      </c>
      <c r="L74" s="160">
        <v>7.2773413160668085E-2</v>
      </c>
      <c r="M74" s="167" t="e">
        <f t="shared" ca="1" si="27"/>
        <v>#NAME?</v>
      </c>
      <c r="N74" s="167" t="e">
        <f t="shared" ca="1" si="10"/>
        <v>#NAME?</v>
      </c>
      <c r="O74" s="164" t="e">
        <f t="shared" ca="1" si="11"/>
        <v>#NAME?</v>
      </c>
      <c r="P74" s="221" t="e">
        <f t="shared" ca="1" si="12"/>
        <v>#NAME?</v>
      </c>
      <c r="Q74" s="221" t="e">
        <f t="shared" ca="1" si="13"/>
        <v>#NAME?</v>
      </c>
      <c r="R74" s="221" t="e">
        <f t="shared" ca="1" si="14"/>
        <v>#NAME?</v>
      </c>
      <c r="S74" s="221" t="e">
        <f t="shared" ca="1" si="15"/>
        <v>#NAME?</v>
      </c>
      <c r="T74" s="161">
        <v>2.0646491386038042</v>
      </c>
      <c r="U74" s="161">
        <v>-0.4312354396301602</v>
      </c>
      <c r="V74" s="161">
        <v>3.3866331284998035</v>
      </c>
      <c r="W74" s="161">
        <v>0.23765690966621841</v>
      </c>
      <c r="X74" s="161">
        <v>1.226898270096499</v>
      </c>
      <c r="Y74" s="161">
        <v>-0.21761835971780416</v>
      </c>
      <c r="Z74" s="161">
        <v>1.0295255738447575</v>
      </c>
      <c r="AA74" s="161">
        <v>-3.1055486355185441E-3</v>
      </c>
      <c r="AB74" s="154">
        <v>-0.58486132265268098</v>
      </c>
      <c r="AC74" s="154">
        <v>-0.1874650071458602</v>
      </c>
      <c r="AD74" s="154">
        <v>-1.6375295830664112E-2</v>
      </c>
      <c r="AE74" s="154">
        <v>-0.31779835005820389</v>
      </c>
      <c r="AF74" s="152">
        <v>-1.150689122474613E-3</v>
      </c>
      <c r="AG74" s="161">
        <v>-1.0209569229464991E-3</v>
      </c>
      <c r="AH74" s="90"/>
      <c r="AK74" s="245"/>
      <c r="AL74" s="245"/>
      <c r="AM74" s="245"/>
      <c r="AN74" s="245"/>
      <c r="AO74" s="245"/>
      <c r="AP74" s="245"/>
      <c r="AQ74" s="245"/>
      <c r="AR74" s="245"/>
      <c r="AS74" s="245"/>
      <c r="AT74" s="245"/>
      <c r="AU74" s="245"/>
      <c r="AV74" s="245"/>
      <c r="AW74" s="241"/>
      <c r="AX74" s="241"/>
      <c r="AY74" s="245"/>
      <c r="BA74" s="240">
        <f t="shared" si="29"/>
        <v>2005</v>
      </c>
      <c r="BB74" s="240">
        <f t="shared" si="30"/>
        <v>1500</v>
      </c>
      <c r="BC74" s="240">
        <f t="shared" si="16"/>
        <v>300</v>
      </c>
      <c r="BD74" s="242">
        <f t="shared" si="31"/>
        <v>33.474489795917613</v>
      </c>
      <c r="BE74" s="242">
        <f t="shared" si="17"/>
        <v>6747.4489795918316</v>
      </c>
      <c r="BF74" s="242">
        <f t="shared" si="18"/>
        <v>14600.694444444447</v>
      </c>
      <c r="BG74" s="243">
        <f t="shared" si="19"/>
        <v>1.0206035497026487</v>
      </c>
      <c r="BK74" s="215">
        <v>47.969364464711049</v>
      </c>
      <c r="BL74" s="216">
        <f t="shared" ca="1" si="20"/>
        <v>-0.73179608430266785</v>
      </c>
      <c r="BM74" s="71">
        <f t="shared" ca="1" si="21"/>
        <v>0.48104421775227146</v>
      </c>
      <c r="BN74" s="215">
        <f t="shared" ca="1" si="22"/>
        <v>23.075385405000535</v>
      </c>
      <c r="BO74" s="71">
        <f t="shared" ca="1" si="23"/>
        <v>0.53552550900071716</v>
      </c>
      <c r="BT74" s="1"/>
      <c r="CB74" s="160"/>
      <c r="CC74" s="160"/>
      <c r="CD74" s="160"/>
    </row>
    <row r="75" spans="1:82" x14ac:dyDescent="0.2">
      <c r="A75" s="70"/>
      <c r="B75" s="275" t="s">
        <v>290</v>
      </c>
      <c r="C75" s="209">
        <v>2006</v>
      </c>
      <c r="D75" s="86">
        <v>1500</v>
      </c>
      <c r="E75" s="86">
        <v>300</v>
      </c>
      <c r="F75" s="139">
        <f t="shared" si="24"/>
        <v>1</v>
      </c>
      <c r="G75" s="87">
        <v>21.280771241918011</v>
      </c>
      <c r="H75" s="138" t="e">
        <f t="shared" ca="1" si="25"/>
        <v>#NAME?</v>
      </c>
      <c r="I75" s="138">
        <v>0.1</v>
      </c>
      <c r="J75" s="166" t="e">
        <f t="shared" ca="1" si="26"/>
        <v>#NAME?</v>
      </c>
      <c r="K75" s="167" t="e">
        <f t="shared" ca="1" si="9"/>
        <v>#NAME?</v>
      </c>
      <c r="L75" s="160">
        <v>7.3696660201181138E-2</v>
      </c>
      <c r="M75" s="167" t="e">
        <f t="shared" ca="1" si="27"/>
        <v>#NAME?</v>
      </c>
      <c r="N75" s="167" t="e">
        <f t="shared" ca="1" si="10"/>
        <v>#NAME?</v>
      </c>
      <c r="O75" s="164" t="e">
        <f t="shared" ca="1" si="11"/>
        <v>#NAME?</v>
      </c>
      <c r="P75" s="221" t="e">
        <f t="shared" ca="1" si="12"/>
        <v>#NAME?</v>
      </c>
      <c r="Q75" s="221" t="e">
        <f t="shared" ca="1" si="13"/>
        <v>#NAME?</v>
      </c>
      <c r="R75" s="221" t="e">
        <f t="shared" ca="1" si="14"/>
        <v>#NAME?</v>
      </c>
      <c r="S75" s="221" t="e">
        <f t="shared" ca="1" si="15"/>
        <v>#NAME?</v>
      </c>
      <c r="T75" s="161">
        <v>2.028999845210719</v>
      </c>
      <c r="U75" s="161">
        <v>-0.41476899890408436</v>
      </c>
      <c r="V75" s="161">
        <v>3.2149909426570074</v>
      </c>
      <c r="W75" s="161">
        <v>0.21356064916979067</v>
      </c>
      <c r="X75" s="161">
        <v>1.244930872601735</v>
      </c>
      <c r="Y75" s="161">
        <v>-0.21396268577258268</v>
      </c>
      <c r="Z75" s="161">
        <v>1.0279016105028493</v>
      </c>
      <c r="AA75" s="161">
        <v>-3.1055486355186881E-3</v>
      </c>
      <c r="AB75" s="154">
        <v>-0.58634078346912255</v>
      </c>
      <c r="AC75" s="154">
        <v>-0.1874650071458602</v>
      </c>
      <c r="AD75" s="154">
        <v>-1.2727053441224373E-2</v>
      </c>
      <c r="AE75" s="154">
        <v>-0.31750484289738989</v>
      </c>
      <c r="AF75" s="152">
        <v>-8.482248192602617E-4</v>
      </c>
      <c r="AG75" s="161">
        <v>-7.5429737337845274E-4</v>
      </c>
      <c r="AH75" s="90"/>
      <c r="AK75" s="245"/>
      <c r="AL75" s="245"/>
      <c r="AM75" s="245"/>
      <c r="AN75" s="245"/>
      <c r="AO75" s="245"/>
      <c r="AP75" s="245"/>
      <c r="AQ75" s="245"/>
      <c r="AR75" s="245"/>
      <c r="AS75" s="245"/>
      <c r="AT75" s="245"/>
      <c r="AU75" s="245"/>
      <c r="AV75" s="245"/>
      <c r="AW75" s="241"/>
      <c r="AX75" s="241"/>
      <c r="AY75" s="245"/>
      <c r="BA75" s="240">
        <f t="shared" si="29"/>
        <v>2006</v>
      </c>
      <c r="BB75" s="240">
        <f t="shared" si="30"/>
        <v>1500</v>
      </c>
      <c r="BC75" s="240">
        <f t="shared" si="16"/>
        <v>300</v>
      </c>
      <c r="BD75" s="242">
        <f t="shared" si="31"/>
        <v>46.045918367346054</v>
      </c>
      <c r="BE75" s="242">
        <f t="shared" si="17"/>
        <v>6747.4489795918316</v>
      </c>
      <c r="BF75" s="242">
        <f t="shared" si="18"/>
        <v>14600.694444444447</v>
      </c>
      <c r="BG75" s="243">
        <f t="shared" si="19"/>
        <v>1.0218748633608212</v>
      </c>
      <c r="BK75" s="215">
        <v>45.152391564205566</v>
      </c>
      <c r="BL75" s="216">
        <f t="shared" ca="1" si="20"/>
        <v>0.31441835963527431</v>
      </c>
      <c r="BM75" s="71">
        <f t="shared" ca="1" si="21"/>
        <v>1.3694625445698114</v>
      </c>
      <c r="BN75" s="215">
        <f t="shared" ca="1" si="22"/>
        <v>61.83450904492944</v>
      </c>
      <c r="BO75" s="71">
        <f t="shared" ca="1" si="23"/>
        <v>9.8858904875736731E-2</v>
      </c>
      <c r="BT75" s="1"/>
      <c r="CB75" s="160"/>
      <c r="CC75" s="160"/>
      <c r="CD75" s="160"/>
    </row>
    <row r="76" spans="1:82" x14ac:dyDescent="0.2">
      <c r="A76" s="70"/>
      <c r="B76" s="275" t="s">
        <v>291</v>
      </c>
      <c r="C76" s="209">
        <v>1985</v>
      </c>
      <c r="D76" s="86">
        <v>2000</v>
      </c>
      <c r="E76" s="86">
        <v>200</v>
      </c>
      <c r="F76" s="139">
        <f t="shared" si="24"/>
        <v>1</v>
      </c>
      <c r="G76" s="87">
        <v>99.169605293487308</v>
      </c>
      <c r="H76" s="138" t="e">
        <f t="shared" ca="1" si="25"/>
        <v>#NAME?</v>
      </c>
      <c r="I76" s="138">
        <v>0.1</v>
      </c>
      <c r="J76" s="166" t="e">
        <f t="shared" ca="1" si="26"/>
        <v>#NAME?</v>
      </c>
      <c r="K76" s="167" t="e">
        <f t="shared" ca="1" si="9"/>
        <v>#NAME?</v>
      </c>
      <c r="L76" s="160">
        <v>0.15408460584239553</v>
      </c>
      <c r="M76" s="167" t="e">
        <f t="shared" ca="1" si="27"/>
        <v>#NAME?</v>
      </c>
      <c r="N76" s="167" t="e">
        <f t="shared" ca="1" si="10"/>
        <v>#NAME?</v>
      </c>
      <c r="O76" s="164" t="e">
        <f t="shared" ca="1" si="11"/>
        <v>#NAME?</v>
      </c>
      <c r="P76" s="221" t="e">
        <f t="shared" ca="1" si="12"/>
        <v>#NAME?</v>
      </c>
      <c r="Q76" s="221" t="e">
        <f t="shared" ca="1" si="13"/>
        <v>#NAME?</v>
      </c>
      <c r="R76" s="221" t="e">
        <f t="shared" ca="1" si="14"/>
        <v>#NAME?</v>
      </c>
      <c r="S76" s="221" t="e">
        <f t="shared" ca="1" si="15"/>
        <v>#NAME?</v>
      </c>
      <c r="T76" s="161">
        <v>2.6296365300218012</v>
      </c>
      <c r="U76" s="161">
        <v>-0.71579960762708061</v>
      </c>
      <c r="V76" s="161">
        <v>6.8767092291030538</v>
      </c>
      <c r="W76" s="161">
        <v>5.7186807170040401</v>
      </c>
      <c r="X76" s="161">
        <v>-2.8101749186516147</v>
      </c>
      <c r="Y76" s="161">
        <v>0.11928843440528658</v>
      </c>
      <c r="Z76" s="161">
        <v>8.3670703019369269E-2</v>
      </c>
      <c r="AA76" s="161">
        <v>-3.1055486355184001E-3</v>
      </c>
      <c r="AB76" s="154">
        <v>-0.25208186425956547</v>
      </c>
      <c r="AC76" s="154">
        <v>-0.37425574689350577</v>
      </c>
      <c r="AD76" s="161">
        <v>-0.48466493243315806</v>
      </c>
      <c r="AE76" s="161">
        <v>-0.24674959626500206</v>
      </c>
      <c r="AF76" s="152">
        <v>-0.34922046167514664</v>
      </c>
      <c r="AG76" s="161">
        <v>-0.31571824927916686</v>
      </c>
      <c r="AH76" s="90"/>
      <c r="AK76" s="245"/>
      <c r="AL76" s="245"/>
      <c r="AM76" s="245"/>
      <c r="AN76" s="245"/>
      <c r="AO76" s="245"/>
      <c r="AP76" s="245"/>
      <c r="AQ76" s="245"/>
      <c r="AR76" s="245"/>
      <c r="AS76" s="245"/>
      <c r="AT76" s="245"/>
      <c r="AU76" s="245"/>
      <c r="AV76" s="245"/>
      <c r="AW76" s="241"/>
      <c r="AX76" s="241"/>
      <c r="AY76" s="245"/>
      <c r="BA76" s="240">
        <f t="shared" si="29"/>
        <v>1985</v>
      </c>
      <c r="BB76" s="240">
        <f t="shared" si="30"/>
        <v>2000</v>
      </c>
      <c r="BC76" s="240">
        <f t="shared" si="16"/>
        <v>200</v>
      </c>
      <c r="BD76" s="242">
        <f t="shared" si="31"/>
        <v>202.04591836734878</v>
      </c>
      <c r="BE76" s="242">
        <f t="shared" si="17"/>
        <v>338890.30612244894</v>
      </c>
      <c r="BF76" s="242">
        <f t="shared" si="18"/>
        <v>434.02777777777817</v>
      </c>
      <c r="BG76" s="243">
        <f t="shared" si="19"/>
        <v>1.0346923699502468</v>
      </c>
      <c r="BK76" s="215">
        <v>156.71012685667625</v>
      </c>
      <c r="BL76" s="216">
        <f t="shared" ca="1" si="20"/>
        <v>-0.37619412504184774</v>
      </c>
      <c r="BM76" s="71">
        <f t="shared" ca="1" si="21"/>
        <v>0.6864690592719731</v>
      </c>
      <c r="BN76" s="215">
        <f t="shared" ca="1" si="22"/>
        <v>107.57665336169411</v>
      </c>
      <c r="BO76" s="71">
        <f t="shared" ca="1" si="23"/>
        <v>0.14152201971600137</v>
      </c>
      <c r="BT76" s="1"/>
      <c r="CB76" s="160"/>
      <c r="CC76" s="160"/>
      <c r="CD76" s="160"/>
    </row>
    <row r="77" spans="1:82" x14ac:dyDescent="0.2">
      <c r="A77" s="70"/>
      <c r="B77" s="275" t="s">
        <v>291</v>
      </c>
      <c r="C77" s="209">
        <v>1990</v>
      </c>
      <c r="D77" s="86">
        <v>2000</v>
      </c>
      <c r="E77" s="86">
        <v>200</v>
      </c>
      <c r="F77" s="139">
        <f t="shared" si="24"/>
        <v>1</v>
      </c>
      <c r="G77" s="87">
        <v>206.18686648984141</v>
      </c>
      <c r="H77" s="138" t="e">
        <f t="shared" ca="1" si="25"/>
        <v>#NAME?</v>
      </c>
      <c r="I77" s="138">
        <v>0.1</v>
      </c>
      <c r="J77" s="166" t="e">
        <f t="shared" ca="1" si="26"/>
        <v>#NAME?</v>
      </c>
      <c r="K77" s="167" t="e">
        <f t="shared" ca="1" si="9"/>
        <v>#NAME?</v>
      </c>
      <c r="L77" s="160">
        <v>0.17010505201243936</v>
      </c>
      <c r="M77" s="167" t="e">
        <f t="shared" ca="1" si="27"/>
        <v>#NAME?</v>
      </c>
      <c r="N77" s="167" t="e">
        <f t="shared" ca="1" si="10"/>
        <v>#NAME?</v>
      </c>
      <c r="O77" s="164" t="e">
        <f t="shared" ca="1" si="11"/>
        <v>#NAME?</v>
      </c>
      <c r="P77" s="221" t="e">
        <f t="shared" ca="1" si="12"/>
        <v>#NAME?</v>
      </c>
      <c r="Q77" s="221" t="e">
        <f t="shared" ca="1" si="13"/>
        <v>#NAME?</v>
      </c>
      <c r="R77" s="221" t="e">
        <f t="shared" ca="1" si="14"/>
        <v>#NAME?</v>
      </c>
      <c r="S77" s="221" t="e">
        <f t="shared" ca="1" si="15"/>
        <v>#NAME?</v>
      </c>
      <c r="T77" s="161">
        <v>2.5641339636455007</v>
      </c>
      <c r="U77" s="161">
        <v>-0.67992194967742736</v>
      </c>
      <c r="V77" s="161">
        <v>6.3960911643595679</v>
      </c>
      <c r="W77" s="161">
        <v>3.230951013862799</v>
      </c>
      <c r="X77" s="161">
        <v>-0.49724507451161731</v>
      </c>
      <c r="Y77" s="161">
        <v>-7.4257827914084903E-2</v>
      </c>
      <c r="Z77" s="161">
        <v>1.0445909619865959E-2</v>
      </c>
      <c r="AA77" s="161">
        <v>-3.1055486355184001E-3</v>
      </c>
      <c r="AB77" s="154">
        <v>-0.3598592170193089</v>
      </c>
      <c r="AC77" s="154">
        <v>-0.37425574689350577</v>
      </c>
      <c r="AD77" s="161">
        <v>-0.50222571313071962</v>
      </c>
      <c r="AE77" s="161">
        <v>-0.21914246754878722</v>
      </c>
      <c r="AF77" s="152">
        <v>-0.14428049569040999</v>
      </c>
      <c r="AG77" s="161">
        <v>-0.12804768708304604</v>
      </c>
      <c r="AH77" s="90"/>
      <c r="AK77" s="245"/>
      <c r="AL77" s="245"/>
      <c r="AM77" s="245"/>
      <c r="AN77" s="245"/>
      <c r="AO77" s="245"/>
      <c r="AP77" s="245"/>
      <c r="AQ77" s="245"/>
      <c r="AR77" s="245"/>
      <c r="AS77" s="245"/>
      <c r="AT77" s="245"/>
      <c r="AU77" s="245"/>
      <c r="AV77" s="245"/>
      <c r="AW77" s="241"/>
      <c r="AX77" s="241"/>
      <c r="AY77" s="245"/>
      <c r="BA77" s="240">
        <f t="shared" si="29"/>
        <v>1990</v>
      </c>
      <c r="BB77" s="240">
        <f t="shared" si="30"/>
        <v>2000</v>
      </c>
      <c r="BC77" s="240">
        <f t="shared" si="16"/>
        <v>200</v>
      </c>
      <c r="BD77" s="242">
        <f t="shared" si="31"/>
        <v>84.903061224490997</v>
      </c>
      <c r="BE77" s="242">
        <f t="shared" si="17"/>
        <v>338890.30612244894</v>
      </c>
      <c r="BF77" s="242">
        <f t="shared" si="18"/>
        <v>434.02777777777817</v>
      </c>
      <c r="BG77" s="243">
        <f t="shared" si="19"/>
        <v>1.0229332448540136</v>
      </c>
      <c r="BK77" s="215">
        <v>178.57273654284731</v>
      </c>
      <c r="BL77" s="216">
        <f t="shared" ca="1" si="20"/>
        <v>0.31819275804709846</v>
      </c>
      <c r="BM77" s="71">
        <f t="shared" ca="1" si="21"/>
        <v>1.3746412088462263</v>
      </c>
      <c r="BN77" s="215">
        <f t="shared" ca="1" si="22"/>
        <v>245.47344242823831</v>
      </c>
      <c r="BO77" s="71">
        <f t="shared" ca="1" si="23"/>
        <v>0.10124663127361934</v>
      </c>
      <c r="BT77" s="1"/>
      <c r="CB77" s="160"/>
      <c r="CC77" s="160"/>
      <c r="CD77" s="160"/>
    </row>
    <row r="78" spans="1:82" x14ac:dyDescent="0.2">
      <c r="A78" s="70"/>
      <c r="B78" s="275" t="s">
        <v>291</v>
      </c>
      <c r="C78" s="209">
        <v>1995</v>
      </c>
      <c r="D78" s="86">
        <v>2000</v>
      </c>
      <c r="E78" s="86">
        <v>200</v>
      </c>
      <c r="F78" s="139">
        <f t="shared" si="24"/>
        <v>1</v>
      </c>
      <c r="G78" s="87">
        <v>111.06268850298905</v>
      </c>
      <c r="H78" s="138" t="e">
        <f t="shared" ca="1" si="25"/>
        <v>#NAME?</v>
      </c>
      <c r="I78" s="138">
        <v>0.1</v>
      </c>
      <c r="J78" s="166" t="e">
        <f t="shared" ca="1" si="26"/>
        <v>#NAME?</v>
      </c>
      <c r="K78" s="167" t="e">
        <f t="shared" ca="1" si="9"/>
        <v>#NAME?</v>
      </c>
      <c r="L78" s="160">
        <v>7.3626709406762442E-2</v>
      </c>
      <c r="M78" s="167" t="e">
        <f t="shared" ca="1" si="27"/>
        <v>#NAME?</v>
      </c>
      <c r="N78" s="167" t="e">
        <f t="shared" ca="1" si="10"/>
        <v>#NAME?</v>
      </c>
      <c r="O78" s="164" t="e">
        <f t="shared" ca="1" si="11"/>
        <v>#NAME?</v>
      </c>
      <c r="P78" s="221" t="e">
        <f t="shared" ca="1" si="12"/>
        <v>#NAME?</v>
      </c>
      <c r="Q78" s="221" t="e">
        <f t="shared" ca="1" si="13"/>
        <v>#NAME?</v>
      </c>
      <c r="R78" s="221" t="e">
        <f t="shared" ca="1" si="14"/>
        <v>#NAME?</v>
      </c>
      <c r="S78" s="221" t="e">
        <f t="shared" ca="1" si="15"/>
        <v>#NAME?</v>
      </c>
      <c r="T78" s="161">
        <v>2.4678081076911913</v>
      </c>
      <c r="U78" s="161">
        <v>-0.62857079697417773</v>
      </c>
      <c r="V78" s="161">
        <v>5.7319258653403109</v>
      </c>
      <c r="W78" s="161">
        <v>1.7553560577673895</v>
      </c>
      <c r="X78" s="161">
        <v>0.71018177726009124</v>
      </c>
      <c r="Y78" s="161">
        <v>-0.12283363127026459</v>
      </c>
      <c r="Z78" s="161">
        <v>-2.2748794326691513E-2</v>
      </c>
      <c r="AA78" s="161">
        <v>-3.1055486355184001E-3</v>
      </c>
      <c r="AB78" s="154">
        <v>-0.43274143466061432</v>
      </c>
      <c r="AC78" s="154">
        <v>-0.37425574689350577</v>
      </c>
      <c r="AD78" s="161">
        <v>-0.29153877715555615</v>
      </c>
      <c r="AE78" s="161">
        <v>-0.2065513506147226</v>
      </c>
      <c r="AF78" s="152">
        <v>-5.4768857602088002E-2</v>
      </c>
      <c r="AG78" s="161">
        <v>-4.7545596732703067E-2</v>
      </c>
      <c r="AH78" s="90"/>
      <c r="AK78" s="245"/>
      <c r="AL78" s="245"/>
      <c r="AM78" s="245"/>
      <c r="AN78" s="245"/>
      <c r="AO78" s="245"/>
      <c r="AP78" s="245"/>
      <c r="AQ78" s="245"/>
      <c r="AR78" s="245"/>
      <c r="AS78" s="245"/>
      <c r="AT78" s="245"/>
      <c r="AU78" s="245"/>
      <c r="AV78" s="245"/>
      <c r="AW78" s="241"/>
      <c r="AX78" s="241"/>
      <c r="AY78" s="245"/>
      <c r="BA78" s="240">
        <f t="shared" si="29"/>
        <v>1995</v>
      </c>
      <c r="BB78" s="240">
        <f t="shared" si="30"/>
        <v>2000</v>
      </c>
      <c r="BC78" s="240">
        <f t="shared" si="16"/>
        <v>200</v>
      </c>
      <c r="BD78" s="242">
        <f t="shared" si="31"/>
        <v>17.760204081633201</v>
      </c>
      <c r="BE78" s="242">
        <f t="shared" si="17"/>
        <v>338890.30612244894</v>
      </c>
      <c r="BF78" s="242">
        <f t="shared" si="18"/>
        <v>434.02777777777817</v>
      </c>
      <c r="BG78" s="243">
        <f t="shared" si="19"/>
        <v>1.0161319082185665</v>
      </c>
      <c r="BK78" s="215">
        <v>158.08522529660797</v>
      </c>
      <c r="BL78" s="216">
        <f t="shared" ca="1" si="20"/>
        <v>0.56384805032688146</v>
      </c>
      <c r="BM78" s="71">
        <f t="shared" ca="1" si="21"/>
        <v>1.7574221543586037</v>
      </c>
      <c r="BN78" s="215">
        <f t="shared" ca="1" si="22"/>
        <v>277.82247721303003</v>
      </c>
      <c r="BO78" s="71">
        <f t="shared" ca="1" si="23"/>
        <v>0.31792462385742543</v>
      </c>
      <c r="BT78" s="1"/>
      <c r="CB78" s="160"/>
      <c r="CC78" s="160"/>
      <c r="CD78" s="160"/>
    </row>
    <row r="79" spans="1:82" x14ac:dyDescent="0.2">
      <c r="A79" s="70"/>
      <c r="B79" s="275" t="s">
        <v>291</v>
      </c>
      <c r="C79" s="209">
        <v>2000</v>
      </c>
      <c r="D79" s="86">
        <v>2000</v>
      </c>
      <c r="E79" s="86">
        <v>200</v>
      </c>
      <c r="F79" s="139">
        <f t="shared" si="24"/>
        <v>1</v>
      </c>
      <c r="G79" s="87">
        <v>83.165327421416279</v>
      </c>
      <c r="H79" s="138" t="e">
        <f t="shared" ca="1" si="25"/>
        <v>#NAME?</v>
      </c>
      <c r="I79" s="138">
        <v>0.1</v>
      </c>
      <c r="J79" s="166" t="e">
        <f t="shared" ca="1" si="26"/>
        <v>#NAME?</v>
      </c>
      <c r="K79" s="167" t="e">
        <f t="shared" ca="1" si="9"/>
        <v>#NAME?</v>
      </c>
      <c r="L79" s="160">
        <v>7.4435655748869262E-2</v>
      </c>
      <c r="M79" s="167" t="e">
        <f t="shared" ca="1" si="27"/>
        <v>#NAME?</v>
      </c>
      <c r="N79" s="167" t="e">
        <f t="shared" ca="1" si="10"/>
        <v>#NAME?</v>
      </c>
      <c r="O79" s="164" t="e">
        <f t="shared" ca="1" si="11"/>
        <v>#NAME?</v>
      </c>
      <c r="P79" s="221" t="e">
        <f t="shared" ca="1" si="12"/>
        <v>#NAME?</v>
      </c>
      <c r="Q79" s="221" t="e">
        <f t="shared" ca="1" si="13"/>
        <v>#NAME?</v>
      </c>
      <c r="R79" s="221" t="e">
        <f t="shared" ca="1" si="14"/>
        <v>#NAME?</v>
      </c>
      <c r="S79" s="221" t="e">
        <f t="shared" ca="1" si="15"/>
        <v>#NAME?</v>
      </c>
      <c r="T79" s="161">
        <v>2.3425982451319181</v>
      </c>
      <c r="U79" s="161">
        <v>-0.56436093826564282</v>
      </c>
      <c r="V79" s="161">
        <v>4.9333261420989789</v>
      </c>
      <c r="W79" s="161">
        <v>0.95409828009615882</v>
      </c>
      <c r="X79" s="161">
        <v>1.2522342592583438</v>
      </c>
      <c r="Y79" s="161">
        <v>-0.12622572398516818</v>
      </c>
      <c r="Z79" s="161">
        <v>-3.6122317497576259E-2</v>
      </c>
      <c r="AA79" s="161">
        <v>-3.1055486355186881E-3</v>
      </c>
      <c r="AB79" s="154">
        <v>-0.47512724009728385</v>
      </c>
      <c r="AC79" s="154">
        <v>-0.37425574689350577</v>
      </c>
      <c r="AD79" s="161">
        <v>-0.11231624986807349</v>
      </c>
      <c r="AE79" s="161">
        <v>-0.20145350421156524</v>
      </c>
      <c r="AF79" s="152">
        <v>-1.8234358688157055E-2</v>
      </c>
      <c r="AG79" s="161">
        <v>-1.5503445075356864E-2</v>
      </c>
      <c r="AH79" s="90"/>
      <c r="AK79" s="245"/>
      <c r="AL79" s="245"/>
      <c r="AM79" s="245"/>
      <c r="AN79" s="245"/>
      <c r="AO79" s="245"/>
      <c r="AP79" s="245"/>
      <c r="AQ79" s="245"/>
      <c r="AR79" s="245"/>
      <c r="AS79" s="245"/>
      <c r="AT79" s="245"/>
      <c r="AU79" s="245"/>
      <c r="AV79" s="245"/>
      <c r="AW79" s="241"/>
      <c r="AX79" s="241"/>
      <c r="AY79" s="245"/>
      <c r="BA79" s="240">
        <f t="shared" si="29"/>
        <v>2000</v>
      </c>
      <c r="BB79" s="240">
        <f t="shared" si="30"/>
        <v>2000</v>
      </c>
      <c r="BC79" s="240">
        <f t="shared" si="16"/>
        <v>200</v>
      </c>
      <c r="BD79" s="242">
        <f t="shared" si="31"/>
        <v>0.61734693877540814</v>
      </c>
      <c r="BE79" s="242">
        <f t="shared" si="17"/>
        <v>338890.30612244894</v>
      </c>
      <c r="BF79" s="242">
        <f t="shared" si="18"/>
        <v>434.02777777777817</v>
      </c>
      <c r="BG79" s="243">
        <f t="shared" si="19"/>
        <v>1.0143880888744163</v>
      </c>
      <c r="BK79" s="215">
        <v>126.68731785628579</v>
      </c>
      <c r="BL79" s="216">
        <f t="shared" ca="1" si="20"/>
        <v>0.19709986839433213</v>
      </c>
      <c r="BM79" s="71">
        <f t="shared" ca="1" si="21"/>
        <v>1.217865660920868</v>
      </c>
      <c r="BN79" s="215">
        <f t="shared" ca="1" si="22"/>
        <v>154.28813409133758</v>
      </c>
      <c r="BO79" s="71">
        <f t="shared" ca="1" si="23"/>
        <v>3.8848358121063069E-2</v>
      </c>
      <c r="BT79" s="1"/>
      <c r="CB79" s="160"/>
      <c r="CC79" s="160"/>
      <c r="CD79" s="160"/>
    </row>
    <row r="80" spans="1:82" x14ac:dyDescent="0.2">
      <c r="A80" s="70"/>
      <c r="B80" s="275" t="s">
        <v>291</v>
      </c>
      <c r="C80" s="209">
        <v>2005</v>
      </c>
      <c r="D80" s="86">
        <v>2000</v>
      </c>
      <c r="E80" s="86">
        <v>200</v>
      </c>
      <c r="F80" s="139">
        <f t="shared" si="24"/>
        <v>1</v>
      </c>
      <c r="G80" s="87">
        <v>46.558494699929561</v>
      </c>
      <c r="H80" s="138" t="e">
        <f t="shared" ca="1" si="25"/>
        <v>#NAME?</v>
      </c>
      <c r="I80" s="138">
        <v>0.1</v>
      </c>
      <c r="J80" s="166" t="e">
        <f t="shared" ca="1" si="26"/>
        <v>#NAME?</v>
      </c>
      <c r="K80" s="167" t="e">
        <f t="shared" ca="1" si="9"/>
        <v>#NAME?</v>
      </c>
      <c r="L80" s="160">
        <v>8.7449772516497576E-2</v>
      </c>
      <c r="M80" s="167" t="e">
        <f t="shared" ca="1" si="27"/>
        <v>#NAME?</v>
      </c>
      <c r="N80" s="167" t="e">
        <f t="shared" ca="1" si="10"/>
        <v>#NAME?</v>
      </c>
      <c r="O80" s="164" t="e">
        <f t="shared" ca="1" si="11"/>
        <v>#NAME?</v>
      </c>
      <c r="P80" s="221" t="e">
        <f t="shared" ca="1" si="12"/>
        <v>#NAME?</v>
      </c>
      <c r="Q80" s="221" t="e">
        <f t="shared" ca="1" si="13"/>
        <v>#NAME?</v>
      </c>
      <c r="R80" s="221" t="e">
        <f t="shared" ca="1" si="14"/>
        <v>#NAME?</v>
      </c>
      <c r="S80" s="221" t="e">
        <f t="shared" ca="1" si="15"/>
        <v>#NAME?</v>
      </c>
      <c r="T80" s="161">
        <v>2.193620137284813</v>
      </c>
      <c r="U80" s="161">
        <v>-0.49119105126473456</v>
      </c>
      <c r="V80" s="161">
        <v>4.0749040666423131</v>
      </c>
      <c r="W80" s="161">
        <v>0.55089409935159661</v>
      </c>
      <c r="X80" s="161">
        <v>1.4863484109696992</v>
      </c>
      <c r="Y80" s="161">
        <v>-0.12181508074746669</v>
      </c>
      <c r="Z80" s="161">
        <v>-4.1686375118527734E-2</v>
      </c>
      <c r="AA80" s="161">
        <v>-3.1055486355184001E-3</v>
      </c>
      <c r="AB80" s="154">
        <v>-0.49735094087923964</v>
      </c>
      <c r="AC80" s="154">
        <v>-0.37425574689350577</v>
      </c>
      <c r="AD80" s="161">
        <v>-4.1332372065516522E-2</v>
      </c>
      <c r="AE80" s="161">
        <v>-0.1993370226769921</v>
      </c>
      <c r="AF80" s="152">
        <v>-5.2685216269857558E-3</v>
      </c>
      <c r="AG80" s="161">
        <v>-4.417113881854463E-3</v>
      </c>
      <c r="AH80" s="90"/>
      <c r="AK80" s="245"/>
      <c r="AL80" s="245"/>
      <c r="AM80" s="245"/>
      <c r="AN80" s="245"/>
      <c r="AO80" s="245"/>
      <c r="AP80" s="245"/>
      <c r="AQ80" s="245"/>
      <c r="AR80" s="245"/>
      <c r="AS80" s="245"/>
      <c r="AT80" s="245"/>
      <c r="AU80" s="245"/>
      <c r="AV80" s="245"/>
      <c r="AW80" s="241"/>
      <c r="AX80" s="241"/>
      <c r="AY80" s="245"/>
      <c r="BA80" s="240">
        <f t="shared" si="29"/>
        <v>2005</v>
      </c>
      <c r="BB80" s="240">
        <f t="shared" si="30"/>
        <v>2000</v>
      </c>
      <c r="BC80" s="240">
        <f t="shared" si="16"/>
        <v>200</v>
      </c>
      <c r="BD80" s="242">
        <f t="shared" si="31"/>
        <v>33.474489795917613</v>
      </c>
      <c r="BE80" s="242">
        <f t="shared" si="17"/>
        <v>338890.30612244894</v>
      </c>
      <c r="BF80" s="242">
        <f t="shared" si="18"/>
        <v>434.02777777777817</v>
      </c>
      <c r="BG80" s="243">
        <f t="shared" si="19"/>
        <v>1.0177277844682822</v>
      </c>
      <c r="BK80" s="215">
        <v>97.27955006932649</v>
      </c>
      <c r="BL80" s="216">
        <f t="shared" ca="1" si="20"/>
        <v>7.7511116779029887E-2</v>
      </c>
      <c r="BM80" s="71">
        <f t="shared" ca="1" si="21"/>
        <v>1.0805942451192327</v>
      </c>
      <c r="BN80" s="215">
        <f t="shared" ca="1" si="22"/>
        <v>105.11972197270246</v>
      </c>
      <c r="BO80" s="71">
        <f t="shared" ca="1" si="23"/>
        <v>6.007973224332424E-3</v>
      </c>
      <c r="BT80" s="1"/>
      <c r="CB80" s="160"/>
      <c r="CC80" s="160"/>
      <c r="CD80" s="160"/>
    </row>
    <row r="81" spans="1:82" x14ac:dyDescent="0.2">
      <c r="A81" s="70"/>
      <c r="B81" s="275" t="s">
        <v>292</v>
      </c>
      <c r="C81" s="209">
        <v>2005</v>
      </c>
      <c r="D81" s="86">
        <v>300</v>
      </c>
      <c r="E81" s="86">
        <v>400</v>
      </c>
      <c r="F81" s="139">
        <f t="shared" si="24"/>
        <v>1</v>
      </c>
      <c r="G81" s="87">
        <v>0.60987380359356047</v>
      </c>
      <c r="H81" s="138" t="e">
        <f t="shared" ca="1" si="25"/>
        <v>#NAME?</v>
      </c>
      <c r="I81" s="138">
        <v>0.1</v>
      </c>
      <c r="J81" s="166" t="e">
        <f t="shared" ca="1" si="26"/>
        <v>#NAME?</v>
      </c>
      <c r="K81" s="167" t="e">
        <f t="shared" ca="1" si="9"/>
        <v>#NAME?</v>
      </c>
      <c r="L81" s="160">
        <v>0.21770451349988479</v>
      </c>
      <c r="M81" s="167" t="e">
        <f t="shared" ca="1" si="27"/>
        <v>#NAME?</v>
      </c>
      <c r="N81" s="167" t="e">
        <f t="shared" ca="1" si="10"/>
        <v>#NAME?</v>
      </c>
      <c r="O81" s="164" t="e">
        <f t="shared" ca="1" si="11"/>
        <v>#NAME?</v>
      </c>
      <c r="P81" s="221" t="e">
        <f t="shared" ca="1" si="12"/>
        <v>#NAME?</v>
      </c>
      <c r="Q81" s="221" t="e">
        <f t="shared" ca="1" si="13"/>
        <v>#NAME?</v>
      </c>
      <c r="R81" s="221" t="e">
        <f t="shared" ca="1" si="14"/>
        <v>#NAME?</v>
      </c>
      <c r="S81" s="221" t="e">
        <f t="shared" ca="1" si="15"/>
        <v>#NAME?</v>
      </c>
      <c r="T81" s="161">
        <v>1.8393935263887775</v>
      </c>
      <c r="U81" s="161">
        <v>-0.33135870115798055</v>
      </c>
      <c r="V81" s="161">
        <v>2.3467462305646269</v>
      </c>
      <c r="W81" s="161">
        <v>-0.11733854204119437</v>
      </c>
      <c r="X81" s="161">
        <v>0.82168611472403619</v>
      </c>
      <c r="Y81" s="161">
        <v>1.1795273948085017</v>
      </c>
      <c r="Z81" s="161">
        <v>4.064971728507814</v>
      </c>
      <c r="AA81" s="161">
        <v>-3.1055486355185441E-3</v>
      </c>
      <c r="AB81" s="154">
        <v>-0.57868192149249231</v>
      </c>
      <c r="AC81" s="154">
        <v>0</v>
      </c>
      <c r="AD81" s="161">
        <v>-2.1341115874450672E-3</v>
      </c>
      <c r="AE81" s="161">
        <v>-0.17042436823689985</v>
      </c>
      <c r="AF81" s="152">
        <v>2.1610742940393228E-5</v>
      </c>
      <c r="AG81" s="161">
        <v>-2.500918833807883E-5</v>
      </c>
      <c r="AH81" s="90"/>
      <c r="AK81" s="245"/>
      <c r="AL81" s="245"/>
      <c r="AM81" s="245"/>
      <c r="AN81" s="245"/>
      <c r="AO81" s="245"/>
      <c r="AP81" s="245"/>
      <c r="AQ81" s="245"/>
      <c r="AR81" s="245"/>
      <c r="AS81" s="245"/>
      <c r="AT81" s="245"/>
      <c r="AU81" s="245"/>
      <c r="AV81" s="245"/>
      <c r="AW81" s="241"/>
      <c r="AX81" s="241"/>
      <c r="AY81" s="245"/>
      <c r="BA81" s="240">
        <f t="shared" si="29"/>
        <v>2005</v>
      </c>
      <c r="BB81" s="240">
        <f t="shared" si="30"/>
        <v>300</v>
      </c>
      <c r="BC81" s="240">
        <f t="shared" si="16"/>
        <v>400</v>
      </c>
      <c r="BD81" s="242">
        <f t="shared" si="31"/>
        <v>33.474489795917613</v>
      </c>
      <c r="BE81" s="242">
        <f t="shared" si="17"/>
        <v>1249604.5918367347</v>
      </c>
      <c r="BF81" s="242">
        <f t="shared" si="18"/>
        <v>48767.361111111117</v>
      </c>
      <c r="BG81" s="243">
        <f t="shared" si="19"/>
        <v>1.0412801258025968</v>
      </c>
      <c r="BK81" s="215">
        <v>0.76105320518965569</v>
      </c>
      <c r="BL81" s="216">
        <f t="shared" ca="1" si="20"/>
        <v>0.15114254602620258</v>
      </c>
      <c r="BM81" s="71">
        <f t="shared" ca="1" si="21"/>
        <v>1.1631624504501576</v>
      </c>
      <c r="BN81" s="215">
        <f t="shared" ca="1" si="22"/>
        <v>0.88522851107134659</v>
      </c>
      <c r="BO81" s="71">
        <f t="shared" ca="1" si="23"/>
        <v>2.2844069219282784E-2</v>
      </c>
      <c r="BT81" s="1"/>
      <c r="CB81" s="160"/>
      <c r="CC81" s="160"/>
      <c r="CD81" s="160"/>
    </row>
    <row r="82" spans="1:82" x14ac:dyDescent="0.2">
      <c r="A82" s="70"/>
      <c r="B82" s="275" t="s">
        <v>293</v>
      </c>
      <c r="C82" s="209">
        <v>2005</v>
      </c>
      <c r="D82" s="86">
        <v>400</v>
      </c>
      <c r="E82" s="86">
        <v>400</v>
      </c>
      <c r="F82" s="139">
        <f t="shared" si="24"/>
        <v>1</v>
      </c>
      <c r="G82" s="87">
        <v>1.1024684055085852</v>
      </c>
      <c r="H82" s="138" t="e">
        <f t="shared" ca="1" si="25"/>
        <v>#NAME?</v>
      </c>
      <c r="I82" s="138">
        <v>0.1</v>
      </c>
      <c r="J82" s="166" t="e">
        <f t="shared" ca="1" si="26"/>
        <v>#NAME?</v>
      </c>
      <c r="K82" s="167" t="e">
        <f t="shared" ca="1" si="9"/>
        <v>#NAME?</v>
      </c>
      <c r="L82" s="160">
        <v>0.17057974644387477</v>
      </c>
      <c r="M82" s="167" t="e">
        <f t="shared" ca="1" si="27"/>
        <v>#NAME?</v>
      </c>
      <c r="N82" s="167" t="e">
        <f t="shared" ca="1" si="10"/>
        <v>#NAME?</v>
      </c>
      <c r="O82" s="164" t="e">
        <f t="shared" ca="1" si="11"/>
        <v>#NAME?</v>
      </c>
      <c r="P82" s="221" t="e">
        <f t="shared" ca="1" si="12"/>
        <v>#NAME?</v>
      </c>
      <c r="Q82" s="221" t="e">
        <f t="shared" ca="1" si="13"/>
        <v>#NAME?</v>
      </c>
      <c r="R82" s="221" t="e">
        <f t="shared" ca="1" si="14"/>
        <v>#NAME?</v>
      </c>
      <c r="S82" s="221" t="e">
        <f t="shared" ca="1" si="15"/>
        <v>#NAME?</v>
      </c>
      <c r="T82" s="161">
        <v>1.8518570517150279</v>
      </c>
      <c r="U82" s="161">
        <v>-0.33672836329840927</v>
      </c>
      <c r="V82" s="161">
        <v>2.3993146769311977</v>
      </c>
      <c r="W82" s="161">
        <v>-9.3052117999226996E-2</v>
      </c>
      <c r="X82" s="161">
        <v>0.83170984550413884</v>
      </c>
      <c r="Y82" s="161">
        <v>0.94023481842717005</v>
      </c>
      <c r="Z82" s="161">
        <v>3.9233073042523423</v>
      </c>
      <c r="AA82" s="161">
        <v>-3.1055486355184361E-3</v>
      </c>
      <c r="AB82" s="154">
        <v>-0.59177135653719359</v>
      </c>
      <c r="AC82" s="154">
        <v>0</v>
      </c>
      <c r="AD82" s="161">
        <v>-2.4324811237339309E-3</v>
      </c>
      <c r="AE82" s="161">
        <v>-0.20442504710021817</v>
      </c>
      <c r="AF82" s="152">
        <v>-2.3460061012231714E-5</v>
      </c>
      <c r="AG82" s="161">
        <v>-9.8102379825887366E-5</v>
      </c>
      <c r="AH82" s="90"/>
      <c r="AK82" s="245"/>
      <c r="AL82" s="245"/>
      <c r="AM82" s="245"/>
      <c r="AN82" s="245"/>
      <c r="AO82" s="245"/>
      <c r="AP82" s="245"/>
      <c r="AQ82" s="245"/>
      <c r="AR82" s="245"/>
      <c r="AS82" s="245"/>
      <c r="AT82" s="245"/>
      <c r="AU82" s="245"/>
      <c r="AV82" s="245"/>
      <c r="AW82" s="241"/>
      <c r="AX82" s="241"/>
      <c r="AY82" s="245"/>
      <c r="BA82" s="240">
        <f t="shared" si="29"/>
        <v>2005</v>
      </c>
      <c r="BB82" s="240">
        <f t="shared" si="30"/>
        <v>400</v>
      </c>
      <c r="BC82" s="240">
        <f t="shared" si="16"/>
        <v>400</v>
      </c>
      <c r="BD82" s="242">
        <f t="shared" si="31"/>
        <v>33.474489795917613</v>
      </c>
      <c r="BE82" s="242">
        <f t="shared" si="17"/>
        <v>1036033.1632653062</v>
      </c>
      <c r="BF82" s="242">
        <f t="shared" si="18"/>
        <v>48767.361111111117</v>
      </c>
      <c r="BG82" s="243">
        <f t="shared" si="19"/>
        <v>1.0398493910645423</v>
      </c>
      <c r="BK82" s="215">
        <v>1.3455367416453095</v>
      </c>
      <c r="BL82" s="216">
        <f t="shared" ca="1" si="20"/>
        <v>-3.9609431428103137E-2</v>
      </c>
      <c r="BM82" s="71">
        <f t="shared" ca="1" si="21"/>
        <v>0.96116476660224837</v>
      </c>
      <c r="BN82" s="215">
        <f t="shared" ca="1" si="22"/>
        <v>1.2932825082382635</v>
      </c>
      <c r="BO82" s="71">
        <f t="shared" ca="1" si="23"/>
        <v>1.5689070580576182E-3</v>
      </c>
      <c r="BT82" s="1"/>
      <c r="CB82" s="160"/>
      <c r="CC82" s="160"/>
      <c r="CD82" s="160"/>
    </row>
    <row r="83" spans="1:82" x14ac:dyDescent="0.2">
      <c r="A83" s="70"/>
      <c r="B83" s="275" t="s">
        <v>294</v>
      </c>
      <c r="C83" s="209">
        <v>2005</v>
      </c>
      <c r="D83" s="86">
        <v>550</v>
      </c>
      <c r="E83" s="86">
        <v>500</v>
      </c>
      <c r="F83" s="139">
        <f t="shared" si="24"/>
        <v>1</v>
      </c>
      <c r="G83" s="87">
        <v>0.15419245826623343</v>
      </c>
      <c r="H83" s="138" t="e">
        <f t="shared" ca="1" si="25"/>
        <v>#NAME?</v>
      </c>
      <c r="I83" s="138">
        <v>0.1</v>
      </c>
      <c r="J83" s="166" t="e">
        <f t="shared" ca="1" si="26"/>
        <v>#NAME?</v>
      </c>
      <c r="K83" s="167" t="e">
        <f t="shared" ca="1" si="9"/>
        <v>#NAME?</v>
      </c>
      <c r="L83" s="160">
        <v>0.2475266764427155</v>
      </c>
      <c r="M83" s="167" t="e">
        <f t="shared" ca="1" si="27"/>
        <v>#NAME?</v>
      </c>
      <c r="N83" s="167" t="e">
        <f t="shared" ca="1" si="10"/>
        <v>#NAME?</v>
      </c>
      <c r="O83" s="164" t="e">
        <f t="shared" ca="1" si="11"/>
        <v>#NAME?</v>
      </c>
      <c r="P83" s="221" t="e">
        <f t="shared" ca="1" si="12"/>
        <v>#NAME?</v>
      </c>
      <c r="Q83" s="221" t="e">
        <f t="shared" ca="1" si="13"/>
        <v>#NAME?</v>
      </c>
      <c r="R83" s="221" t="e">
        <f t="shared" ca="1" si="14"/>
        <v>#NAME?</v>
      </c>
      <c r="S83" s="221" t="e">
        <f t="shared" ca="1" si="15"/>
        <v>#NAME?</v>
      </c>
      <c r="T83" s="161">
        <v>1.974267356521235</v>
      </c>
      <c r="U83" s="161">
        <v>-0.39451495080482762</v>
      </c>
      <c r="V83" s="161">
        <v>3.0119766453857948</v>
      </c>
      <c r="W83" s="161">
        <v>0.20134860931967843</v>
      </c>
      <c r="X83" s="161">
        <v>0.85609587053080127</v>
      </c>
      <c r="Y83" s="161">
        <v>1.0981229902191993</v>
      </c>
      <c r="Z83" s="161">
        <v>4.937865732289846</v>
      </c>
      <c r="AA83" s="161">
        <v>-3.1055486355185441E-3</v>
      </c>
      <c r="AB83" s="154">
        <v>-0.73947513123963671</v>
      </c>
      <c r="AC83" s="154">
        <v>0</v>
      </c>
      <c r="AD83" s="161">
        <v>-8.220648989481355E-3</v>
      </c>
      <c r="AE83" s="161">
        <v>-0.26975128818434996</v>
      </c>
      <c r="AF83" s="152">
        <v>-1.1243950919791678E-3</v>
      </c>
      <c r="AG83" s="161">
        <v>-1.5362051231264516E-3</v>
      </c>
      <c r="AH83" s="90"/>
      <c r="AK83" s="245"/>
      <c r="AL83" s="245"/>
      <c r="AM83" s="245"/>
      <c r="AN83" s="245"/>
      <c r="AO83" s="245"/>
      <c r="AP83" s="245"/>
      <c r="AQ83" s="245"/>
      <c r="AR83" s="245"/>
      <c r="AS83" s="245"/>
      <c r="AT83" s="245"/>
      <c r="AU83" s="245"/>
      <c r="AV83" s="245"/>
      <c r="AW83" s="241"/>
      <c r="AX83" s="241"/>
      <c r="AY83" s="245"/>
      <c r="BA83" s="240">
        <f t="shared" si="29"/>
        <v>2005</v>
      </c>
      <c r="BB83" s="240">
        <f t="shared" si="30"/>
        <v>550</v>
      </c>
      <c r="BC83" s="240">
        <f t="shared" si="16"/>
        <v>500</v>
      </c>
      <c r="BD83" s="242">
        <f t="shared" si="31"/>
        <v>33.474489795917613</v>
      </c>
      <c r="BE83" s="242">
        <f t="shared" si="17"/>
        <v>753176.02040816331</v>
      </c>
      <c r="BF83" s="242">
        <f t="shared" si="18"/>
        <v>102934.0277777778</v>
      </c>
      <c r="BG83" s="243">
        <f t="shared" si="19"/>
        <v>1.0571003831305983</v>
      </c>
      <c r="BK83" s="215">
        <v>0.15786886620703197</v>
      </c>
      <c r="BL83" s="216">
        <f t="shared" ca="1" si="20"/>
        <v>0.55368045934155452</v>
      </c>
      <c r="BM83" s="71">
        <f t="shared" ca="1" si="21"/>
        <v>1.7396439386762126</v>
      </c>
      <c r="BN83" s="215">
        <f t="shared" ca="1" si="22"/>
        <v>0.27463561620274912</v>
      </c>
      <c r="BO83" s="71">
        <f t="shared" ca="1" si="23"/>
        <v>0.30656205105667483</v>
      </c>
      <c r="BT83" s="1"/>
      <c r="CB83" s="160"/>
      <c r="CC83" s="160"/>
      <c r="CD83" s="160"/>
    </row>
    <row r="84" spans="1:82" x14ac:dyDescent="0.2">
      <c r="A84" s="70"/>
      <c r="B84" s="275" t="s">
        <v>295</v>
      </c>
      <c r="C84" s="209">
        <v>2005</v>
      </c>
      <c r="D84" s="86">
        <v>800</v>
      </c>
      <c r="E84" s="86">
        <v>500</v>
      </c>
      <c r="F84" s="139">
        <f t="shared" si="24"/>
        <v>1</v>
      </c>
      <c r="G84" s="87">
        <v>0.27810268148464912</v>
      </c>
      <c r="H84" s="138" t="e">
        <f t="shared" ca="1" si="25"/>
        <v>#NAME?</v>
      </c>
      <c r="I84" s="138">
        <v>0.1</v>
      </c>
      <c r="J84" s="166" t="e">
        <f t="shared" ca="1" si="26"/>
        <v>#NAME?</v>
      </c>
      <c r="K84" s="167" t="e">
        <f t="shared" ca="1" si="9"/>
        <v>#NAME?</v>
      </c>
      <c r="L84" s="160">
        <v>0.17637339329550611</v>
      </c>
      <c r="M84" s="167" t="e">
        <f t="shared" ca="1" si="27"/>
        <v>#NAME?</v>
      </c>
      <c r="N84" s="167" t="e">
        <f t="shared" ca="1" si="10"/>
        <v>#NAME?</v>
      </c>
      <c r="O84" s="164" t="e">
        <f t="shared" ca="1" si="11"/>
        <v>#NAME?</v>
      </c>
      <c r="P84" s="221" t="e">
        <f t="shared" ref="P84:P115" ca="1" si="32">MAX(IF(J$8="no",H84-J$11*O84,EXP(LN(H84)-J$11*O84)),I84)</f>
        <v>#NAME?</v>
      </c>
      <c r="Q84" s="221" t="e">
        <f t="shared" ref="Q84:Q115" ca="1" si="33">IF(H84&lt;I84/1000,H84,IF(J$8="no",H84+J$11*O84,EXP(LN(H84)+J$11*O84)))</f>
        <v>#NAME?</v>
      </c>
      <c r="R84" s="221" t="e">
        <f t="shared" ca="1" si="14"/>
        <v>#NAME?</v>
      </c>
      <c r="S84" s="221" t="e">
        <f t="shared" ca="1" si="15"/>
        <v>#NAME?</v>
      </c>
      <c r="T84" s="161">
        <v>2.0277597042805371</v>
      </c>
      <c r="U84" s="161">
        <v>-0.41449161753997393</v>
      </c>
      <c r="V84" s="161">
        <v>3.2024883849531918</v>
      </c>
      <c r="W84" s="161">
        <v>0.32475569169778778</v>
      </c>
      <c r="X84" s="161">
        <v>1.0123225288248641</v>
      </c>
      <c r="Y84" s="161">
        <v>0.64158489599620594</v>
      </c>
      <c r="Z84" s="161">
        <v>4.4857776904517666</v>
      </c>
      <c r="AA84" s="161">
        <v>-3.1055486355184721E-3</v>
      </c>
      <c r="AB84" s="154">
        <v>-0.78416106538113095</v>
      </c>
      <c r="AC84" s="154">
        <v>0</v>
      </c>
      <c r="AD84" s="161">
        <v>-1.2404279268806899E-2</v>
      </c>
      <c r="AE84" s="161">
        <v>-0.34193149009239571</v>
      </c>
      <c r="AF84" s="161">
        <v>-5.1109125370026769E-4</v>
      </c>
      <c r="AG84" s="161">
        <v>-5.0391610126487689E-4</v>
      </c>
      <c r="AK84" s="245"/>
      <c r="AL84" s="245"/>
      <c r="AM84" s="245"/>
      <c r="AN84" s="245"/>
      <c r="AO84" s="245"/>
      <c r="AP84" s="245"/>
      <c r="AQ84" s="245"/>
      <c r="AR84" s="245"/>
      <c r="AS84" s="245"/>
      <c r="AT84" s="245"/>
      <c r="AU84" s="245"/>
      <c r="AV84" s="245"/>
      <c r="AW84" s="241"/>
      <c r="AX84" s="241"/>
      <c r="AY84" s="245"/>
      <c r="BA84" s="240">
        <f t="shared" si="29"/>
        <v>2005</v>
      </c>
      <c r="BB84" s="240">
        <f t="shared" si="30"/>
        <v>800</v>
      </c>
      <c r="BC84" s="240">
        <f t="shared" ref="BC84:BC108" si="34">IF($F84&gt;0,E84,"")</f>
        <v>500</v>
      </c>
      <c r="BD84" s="242">
        <f t="shared" si="31"/>
        <v>33.474489795917613</v>
      </c>
      <c r="BE84" s="242">
        <f t="shared" ref="BE84:BE108" si="35">(D84-BB$49)^2</f>
        <v>381747.44897959189</v>
      </c>
      <c r="BF84" s="242">
        <f t="shared" ref="BF84:BF108" si="36">(E84-BC$49)^2</f>
        <v>102934.0277777778</v>
      </c>
      <c r="BG84" s="243">
        <f t="shared" ref="BG84:BG108" si="37">IF(C84="","",SQRT(1+1/BG$49+(C84-BA$49)^2/BD$49+(D84-BB$49)^2/BE$49+(E84-BC$49)^2/BF$49))</f>
        <v>1.0546482267144572</v>
      </c>
      <c r="BK84" s="215">
        <v>0.45455315124318851</v>
      </c>
      <c r="BL84" s="216">
        <f t="shared" ca="1" si="20"/>
        <v>0.16797017948011561</v>
      </c>
      <c r="BM84" s="71">
        <f t="shared" ca="1" si="21"/>
        <v>1.182901335389057</v>
      </c>
      <c r="BN84" s="215">
        <f t="shared" ca="1" si="22"/>
        <v>0.53769152961087163</v>
      </c>
      <c r="BO84" s="71">
        <f t="shared" ca="1" si="23"/>
        <v>2.8213981194582252E-2</v>
      </c>
      <c r="BT84" s="1"/>
      <c r="CB84" s="160"/>
      <c r="CC84" s="160"/>
      <c r="CD84" s="160"/>
    </row>
    <row r="85" spans="1:82" x14ac:dyDescent="0.2">
      <c r="A85" s="70"/>
      <c r="B85" s="275" t="s">
        <v>296</v>
      </c>
      <c r="C85" s="209">
        <v>2005</v>
      </c>
      <c r="D85" s="86">
        <v>1000</v>
      </c>
      <c r="E85" s="86">
        <v>500</v>
      </c>
      <c r="F85" s="139">
        <f t="shared" si="24"/>
        <v>1</v>
      </c>
      <c r="G85" s="87">
        <v>0.52370535940505858</v>
      </c>
      <c r="H85" s="138" t="e">
        <f t="shared" ca="1" si="25"/>
        <v>#NAME?</v>
      </c>
      <c r="I85" s="138">
        <v>0.1</v>
      </c>
      <c r="J85" s="166" t="e">
        <f t="shared" ca="1" si="26"/>
        <v>#NAME?</v>
      </c>
      <c r="K85" s="167" t="e">
        <f t="shared" ca="1" si="9"/>
        <v>#NAME?</v>
      </c>
      <c r="L85" s="160">
        <v>0.15398176676086373</v>
      </c>
      <c r="M85" s="167" t="e">
        <f t="shared" ca="1" si="27"/>
        <v>#NAME?</v>
      </c>
      <c r="N85" s="167" t="e">
        <f t="shared" ca="1" si="10"/>
        <v>#NAME?</v>
      </c>
      <c r="O85" s="164" t="e">
        <f t="shared" ca="1" si="11"/>
        <v>#NAME?</v>
      </c>
      <c r="P85" s="221" t="e">
        <f t="shared" ca="1" si="32"/>
        <v>#NAME?</v>
      </c>
      <c r="Q85" s="221" t="e">
        <f t="shared" ca="1" si="33"/>
        <v>#NAME?</v>
      </c>
      <c r="R85" s="221" t="e">
        <f t="shared" ca="1" si="14"/>
        <v>#NAME?</v>
      </c>
      <c r="S85" s="221" t="e">
        <f t="shared" ca="1" si="15"/>
        <v>#NAME?</v>
      </c>
      <c r="T85" s="161">
        <v>2.0686308006695477</v>
      </c>
      <c r="U85" s="161">
        <v>-0.43249077702261141</v>
      </c>
      <c r="V85" s="161">
        <v>3.4105988822288809</v>
      </c>
      <c r="W85" s="161">
        <v>0.43271417074719176</v>
      </c>
      <c r="X85" s="161">
        <v>1.0865125878577735</v>
      </c>
      <c r="Y85" s="161">
        <v>0.37253351507571342</v>
      </c>
      <c r="Z85" s="161">
        <v>4.1271156674840954</v>
      </c>
      <c r="AA85" s="161">
        <v>-3.1055486355185081E-3</v>
      </c>
      <c r="AB85" s="154">
        <v>-0.83140282345570238</v>
      </c>
      <c r="AC85" s="154">
        <v>-8.4379499530066798E-4</v>
      </c>
      <c r="AD85" s="161">
        <v>-1.6993197454374696E-2</v>
      </c>
      <c r="AE85" s="161">
        <v>-0.39014065490393507</v>
      </c>
      <c r="AF85" s="161">
        <v>-9.729123506212325E-4</v>
      </c>
      <c r="AG85" s="161">
        <v>-8.7296901450483269E-4</v>
      </c>
      <c r="AK85" s="245"/>
      <c r="AL85" s="245"/>
      <c r="AM85" s="245"/>
      <c r="AN85" s="245"/>
      <c r="AO85" s="245"/>
      <c r="AP85" s="245"/>
      <c r="AQ85" s="245"/>
      <c r="AR85" s="245"/>
      <c r="AS85" s="245"/>
      <c r="AT85" s="245"/>
      <c r="AU85" s="245"/>
      <c r="AV85" s="245"/>
      <c r="AW85" s="241"/>
      <c r="AX85" s="241"/>
      <c r="AY85" s="245"/>
      <c r="BA85" s="240">
        <f t="shared" si="29"/>
        <v>2005</v>
      </c>
      <c r="BB85" s="240">
        <f t="shared" si="30"/>
        <v>1000</v>
      </c>
      <c r="BC85" s="240">
        <f t="shared" si="34"/>
        <v>500</v>
      </c>
      <c r="BD85" s="242">
        <f t="shared" ref="BD85:BD108" si="38">(C85-BA$49)^2</f>
        <v>33.474489795917613</v>
      </c>
      <c r="BE85" s="242">
        <f t="shared" si="35"/>
        <v>174604.59183673473</v>
      </c>
      <c r="BF85" s="242">
        <f t="shared" si="36"/>
        <v>102934.0277777778</v>
      </c>
      <c r="BG85" s="243">
        <f t="shared" si="37"/>
        <v>1.0532781982443506</v>
      </c>
      <c r="BK85" s="215">
        <v>0.86479713681424453</v>
      </c>
      <c r="BL85" s="216">
        <f t="shared" ca="1" si="20"/>
        <v>-0.59922770718033969</v>
      </c>
      <c r="BM85" s="71">
        <f t="shared" ca="1" si="21"/>
        <v>0.54923564308763173</v>
      </c>
      <c r="BN85" s="215">
        <f t="shared" ca="1" si="22"/>
        <v>0.47497741157851425</v>
      </c>
      <c r="BO85" s="71">
        <f t="shared" ca="1" si="23"/>
        <v>0.35907384505260703</v>
      </c>
      <c r="BT85" s="1"/>
      <c r="CB85" s="160"/>
      <c r="CC85" s="160"/>
      <c r="CD85" s="160"/>
    </row>
    <row r="86" spans="1:82" x14ac:dyDescent="0.2">
      <c r="A86" s="70"/>
      <c r="B86" s="275" t="s">
        <v>297</v>
      </c>
      <c r="C86" s="209">
        <v>2005</v>
      </c>
      <c r="D86" s="86">
        <v>1200</v>
      </c>
      <c r="E86" s="86">
        <v>400</v>
      </c>
      <c r="F86" s="139">
        <f t="shared" si="24"/>
        <v>1</v>
      </c>
      <c r="G86" s="87">
        <v>10.14544652914601</v>
      </c>
      <c r="H86" s="138" t="e">
        <f t="shared" ca="1" si="25"/>
        <v>#NAME?</v>
      </c>
      <c r="I86" s="138">
        <v>0.1</v>
      </c>
      <c r="J86" s="166" t="e">
        <f t="shared" ca="1" si="26"/>
        <v>#NAME?</v>
      </c>
      <c r="K86" s="167" t="e">
        <f t="shared" ca="1" si="9"/>
        <v>#NAME?</v>
      </c>
      <c r="L86" s="160">
        <v>9.0266061317809967E-2</v>
      </c>
      <c r="M86" s="167" t="e">
        <f t="shared" ca="1" si="27"/>
        <v>#NAME?</v>
      </c>
      <c r="N86" s="167" t="e">
        <f t="shared" ca="1" si="10"/>
        <v>#NAME?</v>
      </c>
      <c r="O86" s="164" t="e">
        <f t="shared" ca="1" si="11"/>
        <v>#NAME?</v>
      </c>
      <c r="P86" s="221" t="e">
        <f t="shared" ca="1" si="32"/>
        <v>#NAME?</v>
      </c>
      <c r="Q86" s="221" t="e">
        <f t="shared" ca="1" si="33"/>
        <v>#NAME?</v>
      </c>
      <c r="R86" s="221" t="e">
        <f t="shared" ca="1" si="14"/>
        <v>#NAME?</v>
      </c>
      <c r="S86" s="221" t="e">
        <f t="shared" ca="1" si="15"/>
        <v>#NAME?</v>
      </c>
      <c r="T86" s="161">
        <v>2.0367131943697663</v>
      </c>
      <c r="U86" s="161">
        <v>-0.41849437558175412</v>
      </c>
      <c r="V86" s="161">
        <v>3.2463869813739503</v>
      </c>
      <c r="W86" s="161">
        <v>0.26344452546160069</v>
      </c>
      <c r="X86" s="161">
        <v>1.0925669240948164</v>
      </c>
      <c r="Y86" s="161">
        <v>-4.6152101816120714E-2</v>
      </c>
      <c r="Z86" s="161">
        <v>2.5227267312558386</v>
      </c>
      <c r="AA86" s="161">
        <v>-3.1055486355185441E-3</v>
      </c>
      <c r="AB86" s="154">
        <v>-0.69723196602398441</v>
      </c>
      <c r="AC86" s="154">
        <v>-7.545837433610722E-2</v>
      </c>
      <c r="AD86" s="161">
        <v>-1.3117967881830717E-2</v>
      </c>
      <c r="AE86" s="161">
        <v>-0.37489511371798179</v>
      </c>
      <c r="AF86" s="161">
        <v>-7.0298181885089929E-4</v>
      </c>
      <c r="AG86" s="161">
        <v>-6.6836771261876294E-4</v>
      </c>
      <c r="AK86" s="245"/>
      <c r="AL86" s="245"/>
      <c r="AM86" s="245"/>
      <c r="AN86" s="245"/>
      <c r="AO86" s="245"/>
      <c r="AP86" s="245"/>
      <c r="AQ86" s="245"/>
      <c r="AR86" s="245"/>
      <c r="AS86" s="245"/>
      <c r="AT86" s="245"/>
      <c r="AU86" s="245"/>
      <c r="AV86" s="245"/>
      <c r="AW86" s="241"/>
      <c r="AX86" s="241"/>
      <c r="AY86" s="245"/>
      <c r="BA86" s="240">
        <f t="shared" si="29"/>
        <v>2005</v>
      </c>
      <c r="BB86" s="240">
        <f t="shared" si="30"/>
        <v>1200</v>
      </c>
      <c r="BC86" s="240">
        <f t="shared" si="34"/>
        <v>400</v>
      </c>
      <c r="BD86" s="242">
        <f t="shared" si="38"/>
        <v>33.474489795917613</v>
      </c>
      <c r="BE86" s="242">
        <f t="shared" si="35"/>
        <v>47461.734693877566</v>
      </c>
      <c r="BF86" s="242">
        <f t="shared" si="36"/>
        <v>48767.361111111117</v>
      </c>
      <c r="BG86" s="243">
        <f t="shared" si="37"/>
        <v>1.0332010504262308</v>
      </c>
      <c r="BK86" s="215">
        <v>8.8817337560673568</v>
      </c>
      <c r="BL86" s="216">
        <f t="shared" ca="1" si="20"/>
        <v>-4.1316863578528817E-2</v>
      </c>
      <c r="BM86" s="71">
        <f t="shared" ca="1" si="21"/>
        <v>0.95952504323445376</v>
      </c>
      <c r="BN86" s="215">
        <f t="shared" ca="1" si="22"/>
        <v>8.5222459662874375</v>
      </c>
      <c r="BO86" s="71">
        <f t="shared" ca="1" si="23"/>
        <v>1.7070832159667645E-3</v>
      </c>
      <c r="BR86" s="1" t="s">
        <v>317</v>
      </c>
      <c r="BT86" s="1"/>
      <c r="CB86" s="160"/>
      <c r="CC86" s="160"/>
      <c r="CD86" s="160"/>
    </row>
    <row r="87" spans="1:82" x14ac:dyDescent="0.2">
      <c r="A87" s="70"/>
      <c r="B87" s="275" t="s">
        <v>298</v>
      </c>
      <c r="C87" s="209">
        <v>2005</v>
      </c>
      <c r="D87" s="86">
        <v>1800</v>
      </c>
      <c r="E87" s="86">
        <v>450</v>
      </c>
      <c r="F87" s="139">
        <f t="shared" si="24"/>
        <v>1</v>
      </c>
      <c r="G87" s="87">
        <v>5.818379999838645</v>
      </c>
      <c r="H87" s="138" t="e">
        <f t="shared" ca="1" si="25"/>
        <v>#NAME?</v>
      </c>
      <c r="I87" s="138">
        <v>0.1</v>
      </c>
      <c r="J87" s="166" t="e">
        <f t="shared" ca="1" si="26"/>
        <v>#NAME?</v>
      </c>
      <c r="K87" s="167" t="e">
        <f t="shared" ca="1" si="9"/>
        <v>#NAME?</v>
      </c>
      <c r="L87" s="160">
        <v>0.13173489555723655</v>
      </c>
      <c r="M87" s="167" t="e">
        <f t="shared" ca="1" si="27"/>
        <v>#NAME?</v>
      </c>
      <c r="N87" s="167" t="e">
        <f t="shared" ca="1" si="10"/>
        <v>#NAME?</v>
      </c>
      <c r="O87" s="164" t="e">
        <f t="shared" ca="1" si="11"/>
        <v>#NAME?</v>
      </c>
      <c r="P87" s="221" t="e">
        <f t="shared" ca="1" si="32"/>
        <v>#NAME?</v>
      </c>
      <c r="Q87" s="221" t="e">
        <f t="shared" ca="1" si="33"/>
        <v>#NAME?</v>
      </c>
      <c r="R87" s="221" t="e">
        <f t="shared" ca="1" si="14"/>
        <v>#NAME?</v>
      </c>
      <c r="S87" s="221" t="e">
        <f t="shared" ca="1" si="15"/>
        <v>#NAME?</v>
      </c>
      <c r="T87" s="161">
        <v>2.2367498787466285</v>
      </c>
      <c r="U87" s="161">
        <v>-0.51174606146224144</v>
      </c>
      <c r="V87" s="161">
        <v>4.3207085262617735</v>
      </c>
      <c r="W87" s="161">
        <v>0.85752438366642025</v>
      </c>
      <c r="X87" s="161">
        <v>1.4354818989070006</v>
      </c>
      <c r="Y87" s="161">
        <v>-0.21986150096441473</v>
      </c>
      <c r="Z87" s="161">
        <v>2.2995269616295513</v>
      </c>
      <c r="AA87" s="161">
        <v>-3.1055486355185441E-3</v>
      </c>
      <c r="AB87" s="154">
        <v>-0.64622858207373413</v>
      </c>
      <c r="AC87" s="154">
        <v>-0.29989545894832859</v>
      </c>
      <c r="AD87" s="161">
        <v>-5.4556595583214809E-2</v>
      </c>
      <c r="AE87" s="161">
        <v>-0.46236884828626895</v>
      </c>
      <c r="AF87" s="161">
        <v>-7.6935621979360314E-3</v>
      </c>
      <c r="AG87" s="161">
        <v>-6.8467319268044119E-3</v>
      </c>
      <c r="AK87" s="245"/>
      <c r="AL87" s="245"/>
      <c r="AM87" s="245"/>
      <c r="AN87" s="245"/>
      <c r="AO87" s="245"/>
      <c r="AP87" s="245"/>
      <c r="AQ87" s="245"/>
      <c r="AR87" s="245"/>
      <c r="AS87" s="245"/>
      <c r="AT87" s="245"/>
      <c r="AU87" s="245"/>
      <c r="AV87" s="245"/>
      <c r="AW87" s="241"/>
      <c r="AX87" s="241"/>
      <c r="AY87" s="245"/>
      <c r="BA87" s="240">
        <f t="shared" si="29"/>
        <v>2005</v>
      </c>
      <c r="BB87" s="240">
        <f t="shared" si="30"/>
        <v>1800</v>
      </c>
      <c r="BC87" s="240">
        <f t="shared" si="34"/>
        <v>450</v>
      </c>
      <c r="BD87" s="242">
        <f t="shared" si="38"/>
        <v>33.474489795917613</v>
      </c>
      <c r="BE87" s="242">
        <f t="shared" si="35"/>
        <v>146033.1632653061</v>
      </c>
      <c r="BF87" s="242">
        <f t="shared" si="36"/>
        <v>73350.694444444467</v>
      </c>
      <c r="BG87" s="243">
        <f t="shared" si="37"/>
        <v>1.0426341865764936</v>
      </c>
      <c r="BK87" s="215">
        <v>7.2551729781143734</v>
      </c>
      <c r="BL87" s="216">
        <f t="shared" ca="1" si="20"/>
        <v>-0.59669362328016562</v>
      </c>
      <c r="BM87" s="71">
        <f t="shared" ca="1" si="21"/>
        <v>0.55062921725937231</v>
      </c>
      <c r="BN87" s="215">
        <f t="shared" ca="1" si="22"/>
        <v>3.9949102180204665</v>
      </c>
      <c r="BO87" s="71">
        <f t="shared" ca="1" si="23"/>
        <v>0.35604328006321223</v>
      </c>
      <c r="BQ87" s="2"/>
      <c r="BR87" s="1" t="s">
        <v>312</v>
      </c>
      <c r="BS87" s="1" t="s">
        <v>313</v>
      </c>
      <c r="BT87" s="1" t="s">
        <v>258</v>
      </c>
      <c r="BU87" s="1"/>
      <c r="CB87" s="160"/>
      <c r="CC87" s="160"/>
      <c r="CD87" s="160"/>
    </row>
    <row r="88" spans="1:82" x14ac:dyDescent="0.2">
      <c r="A88" s="70"/>
      <c r="B88" s="275" t="s">
        <v>299</v>
      </c>
      <c r="C88" s="209">
        <v>2005</v>
      </c>
      <c r="D88" s="86">
        <v>2600</v>
      </c>
      <c r="E88" s="86">
        <v>240</v>
      </c>
      <c r="F88" s="139">
        <f t="shared" si="24"/>
        <v>1</v>
      </c>
      <c r="G88" s="87">
        <v>208</v>
      </c>
      <c r="H88" s="138" t="e">
        <f t="shared" ca="1" si="25"/>
        <v>#NAME?</v>
      </c>
      <c r="I88" s="138">
        <v>0.1</v>
      </c>
      <c r="J88" s="166" t="e">
        <f t="shared" ca="1" si="26"/>
        <v>#NAME?</v>
      </c>
      <c r="K88" s="167" t="e">
        <f t="shared" ca="1" si="9"/>
        <v>#NAME?</v>
      </c>
      <c r="L88" s="160">
        <v>0.12433653918524419</v>
      </c>
      <c r="M88" s="167" t="e">
        <f t="shared" ca="1" si="27"/>
        <v>#NAME?</v>
      </c>
      <c r="N88" s="167" t="e">
        <f t="shared" ca="1" si="10"/>
        <v>#NAME?</v>
      </c>
      <c r="O88" s="164" t="e">
        <f t="shared" ca="1" si="11"/>
        <v>#NAME?</v>
      </c>
      <c r="P88" s="221" t="e">
        <f t="shared" ca="1" si="32"/>
        <v>#NAME?</v>
      </c>
      <c r="Q88" s="221" t="e">
        <f t="shared" ca="1" si="33"/>
        <v>#NAME?</v>
      </c>
      <c r="R88" s="221" t="e">
        <f t="shared" ca="1" si="14"/>
        <v>#NAME?</v>
      </c>
      <c r="S88" s="221" t="e">
        <f t="shared" ca="1" si="15"/>
        <v>#NAME?</v>
      </c>
      <c r="T88" s="161">
        <v>2.3803486498760398</v>
      </c>
      <c r="U88" s="161">
        <v>-0.582485712045409</v>
      </c>
      <c r="V88" s="161">
        <v>5.1898815110571199</v>
      </c>
      <c r="W88" s="161">
        <v>1.9070192981828054</v>
      </c>
      <c r="X88" s="161">
        <v>1.4576170756419244</v>
      </c>
      <c r="Y88" s="161">
        <v>-9.1797409950244435E-2</v>
      </c>
      <c r="Z88" s="161">
        <v>2.5190717758725396E-2</v>
      </c>
      <c r="AA88" s="161">
        <v>-3.1055486355184001E-3</v>
      </c>
      <c r="AB88" s="154">
        <v>-0.43714868974799598</v>
      </c>
      <c r="AC88" s="154">
        <v>-0.5986758787460188</v>
      </c>
      <c r="AD88" s="161">
        <v>-0.12763570456954038</v>
      </c>
      <c r="AE88" s="161">
        <v>-0.2472592248416752</v>
      </c>
      <c r="AF88" s="161">
        <v>-3.0189175961414293E-9</v>
      </c>
      <c r="AG88" s="161">
        <v>-3.4379136894144143E-9</v>
      </c>
      <c r="AK88" s="245"/>
      <c r="AL88" s="245"/>
      <c r="AM88" s="245"/>
      <c r="AN88" s="245"/>
      <c r="AO88" s="245"/>
      <c r="AP88" s="245"/>
      <c r="AQ88" s="245"/>
      <c r="AR88" s="245"/>
      <c r="AS88" s="245"/>
      <c r="AT88" s="245"/>
      <c r="AU88" s="245"/>
      <c r="AV88" s="245"/>
      <c r="AW88" s="241"/>
      <c r="AX88" s="241"/>
      <c r="AY88" s="245"/>
      <c r="BA88" s="240">
        <f t="shared" si="29"/>
        <v>2005</v>
      </c>
      <c r="BB88" s="240">
        <f t="shared" si="30"/>
        <v>2600</v>
      </c>
      <c r="BC88" s="240">
        <f t="shared" si="34"/>
        <v>240</v>
      </c>
      <c r="BD88" s="242">
        <f t="shared" si="38"/>
        <v>33.474489795917613</v>
      </c>
      <c r="BE88" s="242">
        <f t="shared" si="35"/>
        <v>1397461.7346938774</v>
      </c>
      <c r="BF88" s="242">
        <f t="shared" si="36"/>
        <v>3700.6944444444457</v>
      </c>
      <c r="BG88" s="243">
        <f t="shared" si="37"/>
        <v>1.0261323152185702</v>
      </c>
      <c r="BK88" s="215">
        <v>2762.0265246193626</v>
      </c>
      <c r="BL88" s="216">
        <f t="shared" ca="1" si="20"/>
        <v>8.007756732314153E-2</v>
      </c>
      <c r="BM88" s="71">
        <f t="shared" ca="1" si="21"/>
        <v>1.0833710986119773</v>
      </c>
      <c r="BN88" s="215">
        <f t="shared" ca="1" si="22"/>
        <v>2992.2997103723005</v>
      </c>
      <c r="BO88" s="71">
        <f t="shared" ca="1" si="23"/>
        <v>6.4124167883922801E-3</v>
      </c>
      <c r="BQ88" s="2"/>
      <c r="BR88" s="87">
        <v>3716.7311239358346</v>
      </c>
      <c r="BS88" s="87">
        <v>719.72661118449309</v>
      </c>
      <c r="BT88" s="71">
        <f>LN(BS88/BR88)</f>
        <v>-1.6417283976177171</v>
      </c>
      <c r="BU88" s="71"/>
      <c r="CB88" s="160"/>
      <c r="CC88" s="160"/>
      <c r="CD88" s="160"/>
    </row>
    <row r="89" spans="1:82" x14ac:dyDescent="0.2">
      <c r="A89" s="70"/>
      <c r="B89" s="275" t="s">
        <v>299</v>
      </c>
      <c r="C89" s="209">
        <v>2006</v>
      </c>
      <c r="D89" s="86">
        <v>3100</v>
      </c>
      <c r="E89" s="86">
        <v>100</v>
      </c>
      <c r="F89" s="139">
        <f t="shared" si="24"/>
        <v>1</v>
      </c>
      <c r="G89" s="87">
        <v>26</v>
      </c>
      <c r="H89" s="138" t="e">
        <f t="shared" ca="1" si="25"/>
        <v>#NAME?</v>
      </c>
      <c r="I89" s="138">
        <v>0.1</v>
      </c>
      <c r="J89" s="166" t="e">
        <f t="shared" ca="1" si="26"/>
        <v>#NAME?</v>
      </c>
      <c r="K89" s="167" t="e">
        <f t="shared" ca="1" si="9"/>
        <v>#NAME?</v>
      </c>
      <c r="L89" s="160">
        <v>0.19838888017571416</v>
      </c>
      <c r="M89" s="167" t="e">
        <f t="shared" ca="1" si="27"/>
        <v>#NAME?</v>
      </c>
      <c r="N89" s="167" t="e">
        <f t="shared" ca="1" si="10"/>
        <v>#NAME?</v>
      </c>
      <c r="O89" s="164" t="e">
        <f t="shared" ca="1" si="11"/>
        <v>#NAME?</v>
      </c>
      <c r="P89" s="221" t="e">
        <f t="shared" ca="1" si="32"/>
        <v>#NAME?</v>
      </c>
      <c r="Q89" s="221" t="e">
        <f t="shared" ca="1" si="33"/>
        <v>#NAME?</v>
      </c>
      <c r="R89" s="221" t="e">
        <f t="shared" ca="1" si="14"/>
        <v>#NAME?</v>
      </c>
      <c r="S89" s="221" t="e">
        <f t="shared" ca="1" si="15"/>
        <v>#NAME?</v>
      </c>
      <c r="T89" s="161">
        <v>2.4591417757257856</v>
      </c>
      <c r="U89" s="161">
        <v>-0.62292421563546341</v>
      </c>
      <c r="V89" s="161">
        <v>5.7011900240386533</v>
      </c>
      <c r="W89" s="161">
        <v>3.4032423930282167</v>
      </c>
      <c r="X89" s="161">
        <v>1.0261809250717406</v>
      </c>
      <c r="Y89" s="161">
        <v>0.11392463473654009</v>
      </c>
      <c r="Z89" s="161">
        <v>-0.51746415608431784</v>
      </c>
      <c r="AA89" s="161">
        <v>-3.1055486355184001E-3</v>
      </c>
      <c r="AB89" s="154">
        <v>-0.33278045456227628</v>
      </c>
      <c r="AC89" s="154">
        <v>-0.78539880745483004</v>
      </c>
      <c r="AD89" s="161">
        <v>-0.19600406339153462</v>
      </c>
      <c r="AE89" s="161">
        <v>1.1715294593126415E-2</v>
      </c>
      <c r="AF89" s="161">
        <v>-2.5495511610143839E-9</v>
      </c>
      <c r="AG89" s="161">
        <v>-2.9644783635978252E-9</v>
      </c>
      <c r="AK89" s="245"/>
      <c r="AL89" s="245"/>
      <c r="AM89" s="245"/>
      <c r="AN89" s="245"/>
      <c r="AO89" s="245"/>
      <c r="AP89" s="245"/>
      <c r="AQ89" s="245"/>
      <c r="AR89" s="245"/>
      <c r="AS89" s="245"/>
      <c r="AT89" s="245"/>
      <c r="AU89" s="245"/>
      <c r="AV89" s="245"/>
      <c r="AW89" s="241"/>
      <c r="AX89" s="241"/>
      <c r="AY89" s="245"/>
      <c r="BA89" s="240">
        <f t="shared" si="29"/>
        <v>2006</v>
      </c>
      <c r="BB89" s="240">
        <f t="shared" si="30"/>
        <v>3100</v>
      </c>
      <c r="BC89" s="240">
        <f t="shared" si="34"/>
        <v>100</v>
      </c>
      <c r="BD89" s="242">
        <f t="shared" si="38"/>
        <v>46.045918367346054</v>
      </c>
      <c r="BE89" s="242">
        <f t="shared" si="35"/>
        <v>2829604.5918367347</v>
      </c>
      <c r="BF89" s="242">
        <f t="shared" si="36"/>
        <v>6267.3611111111095</v>
      </c>
      <c r="BG89" s="243">
        <f t="shared" si="37"/>
        <v>1.0379843974966938</v>
      </c>
      <c r="BK89" s="215">
        <v>738.37134569175089</v>
      </c>
      <c r="BL89" s="216">
        <f t="shared" ca="1" si="20"/>
        <v>0.58935459446780847</v>
      </c>
      <c r="BM89" s="71">
        <f t="shared" ca="1" si="21"/>
        <v>1.802824486937886</v>
      </c>
      <c r="BN89" s="215">
        <f t="shared" ca="1" si="22"/>
        <v>1331.1539424663672</v>
      </c>
      <c r="BO89" s="71">
        <f t="shared" ca="1" si="23"/>
        <v>0.34733883802031496</v>
      </c>
      <c r="BQ89" s="2"/>
      <c r="BR89" s="87">
        <v>1500.873271981038</v>
      </c>
      <c r="BS89" s="87">
        <v>556.16208138710647</v>
      </c>
      <c r="BT89" s="71">
        <f>LN(BS89/BR89)</f>
        <v>-0.99274263395419071</v>
      </c>
      <c r="BU89" s="71"/>
      <c r="CB89" s="160"/>
      <c r="CC89" s="160"/>
      <c r="CD89" s="160"/>
    </row>
    <row r="90" spans="1:82" x14ac:dyDescent="0.2">
      <c r="A90" s="70"/>
      <c r="B90" s="275" t="s">
        <v>300</v>
      </c>
      <c r="C90" s="209">
        <v>2005</v>
      </c>
      <c r="D90" s="86">
        <v>3700</v>
      </c>
      <c r="E90" s="86">
        <v>125</v>
      </c>
      <c r="F90" s="139">
        <f t="shared" si="24"/>
        <v>1</v>
      </c>
      <c r="G90" s="87">
        <v>97</v>
      </c>
      <c r="H90" s="138" t="e">
        <f t="shared" ca="1" si="25"/>
        <v>#NAME?</v>
      </c>
      <c r="I90" s="138">
        <v>0.1</v>
      </c>
      <c r="J90" s="166" t="e">
        <f t="shared" ca="1" si="26"/>
        <v>#NAME?</v>
      </c>
      <c r="K90" s="167" t="e">
        <f t="shared" ca="1" si="9"/>
        <v>#NAME?</v>
      </c>
      <c r="L90" s="160">
        <v>0.22439229350667669</v>
      </c>
      <c r="M90" s="167" t="e">
        <f t="shared" ca="1" si="27"/>
        <v>#NAME?</v>
      </c>
      <c r="N90" s="167" t="e">
        <f t="shared" ca="1" si="10"/>
        <v>#NAME?</v>
      </c>
      <c r="O90" s="164" t="e">
        <f t="shared" ca="1" si="11"/>
        <v>#NAME?</v>
      </c>
      <c r="P90" s="221" t="e">
        <f t="shared" ca="1" si="32"/>
        <v>#NAME?</v>
      </c>
      <c r="Q90" s="221" t="e">
        <f t="shared" ca="1" si="33"/>
        <v>#NAME?</v>
      </c>
      <c r="R90" s="221" t="e">
        <f t="shared" ca="1" si="14"/>
        <v>#NAME?</v>
      </c>
      <c r="S90" s="221" t="e">
        <f t="shared" ca="1" si="15"/>
        <v>#NAME?</v>
      </c>
      <c r="T90" s="161">
        <v>2.57076557767865</v>
      </c>
      <c r="U90" s="161">
        <v>-0.68288030137054889</v>
      </c>
      <c r="V90" s="161">
        <v>6.4589935708233641</v>
      </c>
      <c r="W90" s="161">
        <v>7.7286947387389979</v>
      </c>
      <c r="X90" s="161">
        <v>-1.6324231002364611</v>
      </c>
      <c r="Y90" s="161">
        <v>0.36006096186581621</v>
      </c>
      <c r="Z90" s="161">
        <v>-0.48956746751852148</v>
      </c>
      <c r="AA90" s="161">
        <v>-3.1055486355184001E-3</v>
      </c>
      <c r="AB90" s="154">
        <v>-0.13993990891355049</v>
      </c>
      <c r="AC90" s="154">
        <v>-1.0097935101677802</v>
      </c>
      <c r="AD90" s="161">
        <v>-0.41067450013879403</v>
      </c>
      <c r="AE90" s="161">
        <v>-2.7727650834788144E-2</v>
      </c>
      <c r="AF90" s="161">
        <v>-5.3230265968456097E-9</v>
      </c>
      <c r="AG90" s="161">
        <v>-5.6131990718204142E-9</v>
      </c>
      <c r="AK90" s="245"/>
      <c r="AL90" s="245"/>
      <c r="AM90" s="245"/>
      <c r="AN90" s="245"/>
      <c r="AO90" s="245"/>
      <c r="AP90" s="245"/>
      <c r="AQ90" s="245"/>
      <c r="AR90" s="245"/>
      <c r="AS90" s="245"/>
      <c r="AT90" s="245"/>
      <c r="AU90" s="245"/>
      <c r="AV90" s="245"/>
      <c r="AW90" s="241"/>
      <c r="AX90" s="241"/>
      <c r="AY90" s="245"/>
      <c r="BA90" s="240">
        <f t="shared" si="29"/>
        <v>2005</v>
      </c>
      <c r="BB90" s="240">
        <f t="shared" si="30"/>
        <v>3700</v>
      </c>
      <c r="BC90" s="240">
        <f t="shared" si="34"/>
        <v>125</v>
      </c>
      <c r="BD90" s="242">
        <f t="shared" si="38"/>
        <v>33.474489795917613</v>
      </c>
      <c r="BE90" s="242">
        <f t="shared" si="35"/>
        <v>5208176.0204081619</v>
      </c>
      <c r="BF90" s="242">
        <f t="shared" si="36"/>
        <v>2934.0277777777769</v>
      </c>
      <c r="BG90" s="243">
        <f t="shared" si="37"/>
        <v>1.051431148488901</v>
      </c>
      <c r="BK90" s="215">
        <v>2150.0369978521148</v>
      </c>
      <c r="BL90" s="216">
        <f t="shared" ca="1" si="20"/>
        <v>-0.22655793550209768</v>
      </c>
      <c r="BM90" s="71">
        <f t="shared" ca="1" si="21"/>
        <v>0.79727315055464232</v>
      </c>
      <c r="BN90" s="215">
        <f t="shared" ca="1" si="22"/>
        <v>1714.1667710866004</v>
      </c>
      <c r="BO90" s="71">
        <f t="shared" ca="1" si="23"/>
        <v>5.1328498138972632E-2</v>
      </c>
      <c r="BQ90" s="2"/>
      <c r="BR90" s="87">
        <v>874.93677643796855</v>
      </c>
      <c r="BS90" s="87">
        <v>988.89639668920165</v>
      </c>
      <c r="BT90" s="71">
        <f>LN(BS90/BR90)</f>
        <v>0.12243794226521559</v>
      </c>
      <c r="BU90" s="71"/>
      <c r="CB90" s="160"/>
      <c r="CC90" s="160"/>
      <c r="CD90" s="160"/>
    </row>
    <row r="91" spans="1:82" x14ac:dyDescent="0.2">
      <c r="A91" s="70"/>
      <c r="B91" s="275" t="s">
        <v>300</v>
      </c>
      <c r="C91" s="209">
        <v>2006</v>
      </c>
      <c r="D91" s="86">
        <v>4500</v>
      </c>
      <c r="E91" s="86">
        <v>10</v>
      </c>
      <c r="F91" s="139">
        <f t="shared" si="24"/>
        <v>1</v>
      </c>
      <c r="G91" s="87">
        <v>20</v>
      </c>
      <c r="H91" s="138" t="e">
        <f t="shared" ca="1" si="25"/>
        <v>#NAME?</v>
      </c>
      <c r="I91" s="138">
        <v>0.1</v>
      </c>
      <c r="J91" s="166" t="e">
        <f t="shared" ca="1" si="26"/>
        <v>#NAME?</v>
      </c>
      <c r="K91" s="167" t="e">
        <f t="shared" ca="1" si="9"/>
        <v>#NAME?</v>
      </c>
      <c r="L91" s="160">
        <v>0.26606130145153645</v>
      </c>
      <c r="M91" s="167" t="e">
        <f t="shared" ca="1" si="27"/>
        <v>#NAME?</v>
      </c>
      <c r="N91" s="167" t="e">
        <f t="shared" ca="1" si="10"/>
        <v>#NAME?</v>
      </c>
      <c r="O91" s="164" t="e">
        <f t="shared" ca="1" si="11"/>
        <v>#NAME?</v>
      </c>
      <c r="P91" s="221" t="e">
        <f t="shared" ca="1" si="32"/>
        <v>#NAME?</v>
      </c>
      <c r="Q91" s="221" t="e">
        <f t="shared" ca="1" si="33"/>
        <v>#NAME?</v>
      </c>
      <c r="R91" s="221" t="e">
        <f t="shared" ca="1" si="14"/>
        <v>#NAME?</v>
      </c>
      <c r="S91" s="221" t="e">
        <f t="shared" ca="1" si="15"/>
        <v>#NAME?</v>
      </c>
      <c r="T91" s="161">
        <v>2.6261471992701049</v>
      </c>
      <c r="U91" s="161">
        <v>-0.71355432005804476</v>
      </c>
      <c r="V91" s="161">
        <v>6.8581966920469224</v>
      </c>
      <c r="W91" s="161">
        <v>14.434305191653037</v>
      </c>
      <c r="X91" s="161">
        <v>-6.5157053647025123</v>
      </c>
      <c r="Y91" s="161">
        <v>0.98049835125402851</v>
      </c>
      <c r="Z91" s="161">
        <v>-0.51856625964025593</v>
      </c>
      <c r="AA91" s="161">
        <v>-3.1055486355183277E-3</v>
      </c>
      <c r="AB91" s="154">
        <v>0.13676230890756932</v>
      </c>
      <c r="AC91" s="154">
        <v>-1.308734981182702</v>
      </c>
      <c r="AD91" s="161">
        <v>-0.31873011525724365</v>
      </c>
      <c r="AE91" s="161">
        <v>-0.30955050231280273</v>
      </c>
      <c r="AF91" s="161">
        <v>2.9799494746801045E-9</v>
      </c>
      <c r="AG91" s="161">
        <v>-1.3100851046838712E-9</v>
      </c>
      <c r="AK91" s="245"/>
      <c r="AL91" s="245"/>
      <c r="AM91" s="245"/>
      <c r="AN91" s="245"/>
      <c r="AO91" s="245"/>
      <c r="AP91" s="245"/>
      <c r="AQ91" s="245"/>
      <c r="AR91" s="245"/>
      <c r="AS91" s="245"/>
      <c r="AT91" s="245"/>
      <c r="AU91" s="245"/>
      <c r="AV91" s="245"/>
      <c r="AW91" s="241"/>
      <c r="AX91" s="241"/>
      <c r="AY91" s="245"/>
      <c r="BA91" s="240">
        <f t="shared" si="29"/>
        <v>2006</v>
      </c>
      <c r="BB91" s="240">
        <f t="shared" si="30"/>
        <v>4500</v>
      </c>
      <c r="BC91" s="240">
        <f t="shared" si="34"/>
        <v>10</v>
      </c>
      <c r="BD91" s="242">
        <f t="shared" si="38"/>
        <v>46.045918367346054</v>
      </c>
      <c r="BE91" s="242">
        <f t="shared" si="35"/>
        <v>9499604.5918367337</v>
      </c>
      <c r="BF91" s="242">
        <f t="shared" si="36"/>
        <v>28617.361111111109</v>
      </c>
      <c r="BG91" s="243">
        <f t="shared" si="37"/>
        <v>1.089475056492784</v>
      </c>
      <c r="BK91" s="215">
        <v>695.04905426892037</v>
      </c>
      <c r="BL91" s="216">
        <f t="shared" ca="1" si="20"/>
        <v>-0.42855972514932961</v>
      </c>
      <c r="BM91" s="71">
        <f t="shared" ca="1" si="21"/>
        <v>0.65144668164193165</v>
      </c>
      <c r="BN91" s="215">
        <f t="shared" ca="1" si="22"/>
        <v>452.78739998185102</v>
      </c>
      <c r="BO91" s="71">
        <f t="shared" ca="1" si="23"/>
        <v>0.18366343802006893</v>
      </c>
      <c r="BQ91" s="2"/>
      <c r="BR91" s="2"/>
      <c r="BS91" s="2"/>
      <c r="CB91" s="160"/>
      <c r="CC91" s="160"/>
      <c r="CD91" s="160"/>
    </row>
    <row r="92" spans="1:82" x14ac:dyDescent="0.2">
      <c r="A92" s="70"/>
      <c r="B92" s="275" t="s">
        <v>301</v>
      </c>
      <c r="C92" s="209">
        <v>2005</v>
      </c>
      <c r="D92" s="86">
        <v>4800</v>
      </c>
      <c r="E92" s="86">
        <v>10</v>
      </c>
      <c r="F92" s="139">
        <f t="shared" si="24"/>
        <v>1</v>
      </c>
      <c r="G92" s="87">
        <v>7</v>
      </c>
      <c r="H92" s="138" t="e">
        <f t="shared" ca="1" si="25"/>
        <v>#NAME?</v>
      </c>
      <c r="I92" s="138">
        <v>0.1</v>
      </c>
      <c r="J92" s="166" t="e">
        <f t="shared" ca="1" si="26"/>
        <v>#NAME?</v>
      </c>
      <c r="K92" s="167" t="e">
        <f t="shared" ca="1" si="9"/>
        <v>#NAME?</v>
      </c>
      <c r="L92" s="160">
        <v>0.39453897869481569</v>
      </c>
      <c r="M92" s="167" t="e">
        <f t="shared" ca="1" si="27"/>
        <v>#NAME?</v>
      </c>
      <c r="N92" s="167" t="e">
        <f t="shared" ca="1" si="10"/>
        <v>#NAME?</v>
      </c>
      <c r="O92" s="164" t="e">
        <f t="shared" ca="1" si="11"/>
        <v>#NAME?</v>
      </c>
      <c r="P92" s="221" t="e">
        <f t="shared" ca="1" si="32"/>
        <v>#NAME?</v>
      </c>
      <c r="Q92" s="221" t="e">
        <f t="shared" ca="1" si="33"/>
        <v>#NAME?</v>
      </c>
      <c r="R92" s="221" t="e">
        <f t="shared" ca="1" si="14"/>
        <v>#NAME?</v>
      </c>
      <c r="S92" s="221" t="e">
        <f t="shared" ca="1" si="15"/>
        <v>#NAME?</v>
      </c>
      <c r="T92" s="161">
        <v>2.645953753612762</v>
      </c>
      <c r="U92" s="161">
        <v>-0.72464025071194949</v>
      </c>
      <c r="V92" s="161">
        <v>7.0058830114486339</v>
      </c>
      <c r="W92" s="161">
        <v>18.334730551454371</v>
      </c>
      <c r="X92" s="161">
        <v>-10.096446474292391</v>
      </c>
      <c r="Y92" s="161">
        <v>1.5020774040998897</v>
      </c>
      <c r="Z92" s="161">
        <v>-0.52070380726946075</v>
      </c>
      <c r="AA92" s="161">
        <v>-3.1055486355182379E-3</v>
      </c>
      <c r="AB92" s="154">
        <v>0.29448966839560514</v>
      </c>
      <c r="AC92" s="154">
        <v>-1.420911141589541</v>
      </c>
      <c r="AD92" s="161">
        <v>-0.25879398065193637</v>
      </c>
      <c r="AE92" s="161">
        <v>-0.32418099553258417</v>
      </c>
      <c r="AF92" s="161">
        <v>-6.942661408463794E-9</v>
      </c>
      <c r="AG92" s="161">
        <v>-3.4949302879621672E-9</v>
      </c>
      <c r="AK92" s="245"/>
      <c r="AL92" s="245"/>
      <c r="AM92" s="245"/>
      <c r="AN92" s="245"/>
      <c r="AO92" s="245"/>
      <c r="AP92" s="245"/>
      <c r="AQ92" s="245"/>
      <c r="AR92" s="245"/>
      <c r="AS92" s="245"/>
      <c r="AT92" s="245"/>
      <c r="AU92" s="245"/>
      <c r="AV92" s="245"/>
      <c r="AW92" s="241"/>
      <c r="AX92" s="241"/>
      <c r="AY92" s="245"/>
      <c r="BA92" s="240">
        <f t="shared" si="29"/>
        <v>2005</v>
      </c>
      <c r="BB92" s="240">
        <f t="shared" si="30"/>
        <v>4800</v>
      </c>
      <c r="BC92" s="240">
        <f t="shared" si="34"/>
        <v>10</v>
      </c>
      <c r="BD92" s="242">
        <f t="shared" si="38"/>
        <v>33.474489795917613</v>
      </c>
      <c r="BE92" s="242">
        <f t="shared" si="35"/>
        <v>11438890.306122446</v>
      </c>
      <c r="BF92" s="242">
        <f t="shared" si="36"/>
        <v>28617.361111111109</v>
      </c>
      <c r="BG92" s="243">
        <f t="shared" si="37"/>
        <v>1.1006344383469739</v>
      </c>
      <c r="BK92" s="215">
        <v>1451.8618568918844</v>
      </c>
      <c r="BL92" s="216">
        <f t="shared" ca="1" si="20"/>
        <v>0.19077882455639994</v>
      </c>
      <c r="BM92" s="71">
        <f t="shared" ca="1" si="21"/>
        <v>1.2101917577798198</v>
      </c>
      <c r="BN92" s="215">
        <f t="shared" ca="1" si="22"/>
        <v>1757.0312526454627</v>
      </c>
      <c r="BO92" s="71">
        <f t="shared" ca="1" si="23"/>
        <v>3.639655989912164E-2</v>
      </c>
      <c r="BQ92" s="2"/>
      <c r="BS92" s="70"/>
      <c r="CB92" s="160"/>
      <c r="CC92" s="160"/>
      <c r="CD92" s="160"/>
    </row>
    <row r="93" spans="1:82" x14ac:dyDescent="0.2">
      <c r="A93" s="70"/>
      <c r="B93" s="275" t="s">
        <v>301</v>
      </c>
      <c r="C93" s="209">
        <v>2006</v>
      </c>
      <c r="D93" s="86">
        <v>5100</v>
      </c>
      <c r="E93" s="86">
        <v>20</v>
      </c>
      <c r="F93" s="139">
        <f t="shared" si="24"/>
        <v>1</v>
      </c>
      <c r="G93" s="87">
        <v>0.01</v>
      </c>
      <c r="H93" s="138" t="e">
        <f t="shared" ca="1" si="25"/>
        <v>#NAME?</v>
      </c>
      <c r="I93" s="138">
        <v>0.1</v>
      </c>
      <c r="J93" s="166" t="e">
        <f t="shared" ca="1" si="26"/>
        <v>#NAME?</v>
      </c>
      <c r="K93" s="167" t="e">
        <f t="shared" ca="1" si="9"/>
        <v>#NAME?</v>
      </c>
      <c r="L93" s="160">
        <v>0.63297246801168627</v>
      </c>
      <c r="M93" s="167" t="e">
        <f t="shared" ca="1" si="27"/>
        <v>#NAME?</v>
      </c>
      <c r="N93" s="167" t="e">
        <f t="shared" ca="1" si="10"/>
        <v>#NAME?</v>
      </c>
      <c r="O93" s="164" t="e">
        <f t="shared" ca="1" si="11"/>
        <v>#NAME?</v>
      </c>
      <c r="P93" s="221" t="e">
        <f t="shared" ca="1" si="32"/>
        <v>#NAME?</v>
      </c>
      <c r="Q93" s="221" t="e">
        <f t="shared" ca="1" si="33"/>
        <v>#NAME?</v>
      </c>
      <c r="R93" s="221" t="e">
        <f t="shared" ca="1" si="14"/>
        <v>#NAME?</v>
      </c>
      <c r="S93" s="221" t="e">
        <f t="shared" ca="1" si="15"/>
        <v>#NAME?</v>
      </c>
      <c r="T93" s="161">
        <v>2.6520970865848219</v>
      </c>
      <c r="U93" s="161">
        <v>-0.72807533763862431</v>
      </c>
      <c r="V93" s="161">
        <v>7.0526147685551406</v>
      </c>
      <c r="W93" s="161">
        <v>15.175262614346753</v>
      </c>
      <c r="X93" s="161">
        <v>-12.148612323313857</v>
      </c>
      <c r="Y93" s="161">
        <v>1.8278386723953497</v>
      </c>
      <c r="Z93" s="161">
        <v>-0.510455130128462</v>
      </c>
      <c r="AA93" s="161">
        <v>-3.1055486355185441E-3</v>
      </c>
      <c r="AB93" s="154">
        <v>0.39198006959606979</v>
      </c>
      <c r="AC93" s="154">
        <v>-1.5331042547560891</v>
      </c>
      <c r="AD93" s="161">
        <v>-0.21419821842398351</v>
      </c>
      <c r="AE93" s="161">
        <v>-0.11522472560833469</v>
      </c>
      <c r="AF93" s="161">
        <v>6.7197729737815307E-9</v>
      </c>
      <c r="AG93" s="161">
        <v>1.0249751609522185E-9</v>
      </c>
      <c r="AK93" s="245"/>
      <c r="AL93" s="245"/>
      <c r="AM93" s="245"/>
      <c r="AN93" s="245"/>
      <c r="AO93" s="245"/>
      <c r="AP93" s="245"/>
      <c r="AQ93" s="245"/>
      <c r="AR93" s="245"/>
      <c r="AS93" s="245"/>
      <c r="AT93" s="245"/>
      <c r="AU93" s="245"/>
      <c r="AV93" s="245"/>
      <c r="AW93" s="241"/>
      <c r="AX93" s="241"/>
      <c r="AY93" s="245"/>
      <c r="BA93" s="240">
        <f t="shared" si="29"/>
        <v>2006</v>
      </c>
      <c r="BB93" s="240">
        <f t="shared" si="30"/>
        <v>5100</v>
      </c>
      <c r="BC93" s="240">
        <f t="shared" si="34"/>
        <v>20</v>
      </c>
      <c r="BD93" s="242">
        <f t="shared" si="38"/>
        <v>46.045918367346054</v>
      </c>
      <c r="BE93" s="242">
        <f t="shared" si="35"/>
        <v>13558176.020408161</v>
      </c>
      <c r="BF93" s="242">
        <f t="shared" si="36"/>
        <v>25334.027777777774</v>
      </c>
      <c r="BG93" s="243">
        <f t="shared" si="37"/>
        <v>1.1140500135216391</v>
      </c>
      <c r="BK93" s="215">
        <v>619.67843875329925</v>
      </c>
      <c r="BL93" s="216">
        <f t="shared" ca="1" si="20"/>
        <v>-0.22867909760327687</v>
      </c>
      <c r="BM93" s="71">
        <f t="shared" ca="1" si="21"/>
        <v>0.7955837972928681</v>
      </c>
      <c r="BN93" s="215">
        <f t="shared" ca="1" si="22"/>
        <v>493.00612540386578</v>
      </c>
      <c r="BO93" s="71">
        <f t="shared" ca="1" si="23"/>
        <v>5.2294129680649053E-2</v>
      </c>
      <c r="BQ93" s="2"/>
      <c r="BR93" s="2"/>
      <c r="BS93" s="2"/>
      <c r="CB93" s="160"/>
      <c r="CC93" s="160"/>
      <c r="CD93" s="160"/>
    </row>
    <row r="94" spans="1:82" x14ac:dyDescent="0.2">
      <c r="B94" s="275" t="s">
        <v>347</v>
      </c>
      <c r="C94" s="209">
        <v>2006</v>
      </c>
      <c r="D94" s="86">
        <v>3900</v>
      </c>
      <c r="E94" s="86">
        <v>50</v>
      </c>
      <c r="F94" s="139">
        <v>1</v>
      </c>
      <c r="G94" s="283">
        <v>12</v>
      </c>
      <c r="H94" s="138" t="e">
        <f t="shared" ca="1" si="25"/>
        <v>#NAME?</v>
      </c>
      <c r="I94" s="138">
        <v>0.1</v>
      </c>
      <c r="J94" s="166" t="e">
        <f t="shared" ca="1" si="26"/>
        <v>#NAME?</v>
      </c>
      <c r="K94" s="167" t="e">
        <f t="shared" ca="1" si="9"/>
        <v>#NAME?</v>
      </c>
      <c r="L94" s="160">
        <v>0.39972909050836031</v>
      </c>
      <c r="M94" s="167" t="e">
        <f t="shared" ca="1" si="27"/>
        <v>#NAME?</v>
      </c>
      <c r="N94" s="167" t="e">
        <f t="shared" ca="1" si="10"/>
        <v>#NAME?</v>
      </c>
      <c r="O94" s="164" t="e">
        <f t="shared" ca="1" si="11"/>
        <v>#NAME?</v>
      </c>
      <c r="P94" s="221" t="e">
        <f t="shared" ca="1" si="32"/>
        <v>#NAME?</v>
      </c>
      <c r="Q94" s="221" t="e">
        <f t="shared" ca="1" si="33"/>
        <v>#NAME?</v>
      </c>
      <c r="R94" s="221" t="e">
        <f t="shared" ca="1" si="14"/>
        <v>#NAME?</v>
      </c>
      <c r="S94" s="221" t="e">
        <f t="shared" ca="1" si="15"/>
        <v>#NAME?</v>
      </c>
      <c r="T94" s="161">
        <v>2.5798490828381215</v>
      </c>
      <c r="U94" s="161">
        <v>-0.68784475024516822</v>
      </c>
      <c r="V94" s="161">
        <v>6.5239062514554158</v>
      </c>
      <c r="W94" s="161">
        <v>8.7218402606511649</v>
      </c>
      <c r="X94" s="161">
        <v>-2.1958283571914432</v>
      </c>
      <c r="Y94" s="161">
        <v>0.4525945085817667</v>
      </c>
      <c r="Z94" s="161">
        <v>-0.54274324203491109</v>
      </c>
      <c r="AA94" s="161">
        <v>-3.1055486355185441E-3</v>
      </c>
      <c r="AB94" s="154">
        <v>-9.4155218752560943E-2</v>
      </c>
      <c r="AC94" s="154">
        <v>-1.084450471407858</v>
      </c>
      <c r="AD94" s="161">
        <v>-0.39339155436151158</v>
      </c>
      <c r="AE94" s="161">
        <v>0.19034908591180416</v>
      </c>
      <c r="AF94" s="161">
        <v>0</v>
      </c>
      <c r="AG94" s="161">
        <v>0</v>
      </c>
      <c r="AK94" s="241"/>
      <c r="AL94" s="241"/>
      <c r="AM94" s="241"/>
      <c r="AN94" s="241"/>
      <c r="AO94" s="241"/>
      <c r="AP94" s="240"/>
      <c r="AQ94" s="240"/>
      <c r="AR94" s="240"/>
      <c r="AS94" s="241"/>
      <c r="AT94" s="241"/>
      <c r="AU94" s="241"/>
      <c r="AV94" s="241"/>
      <c r="AW94" s="241"/>
      <c r="AX94" s="241"/>
      <c r="AY94" s="241"/>
      <c r="BA94" s="240">
        <f t="shared" si="29"/>
        <v>2006</v>
      </c>
      <c r="BB94" s="240">
        <f t="shared" si="30"/>
        <v>3900</v>
      </c>
      <c r="BC94" s="240">
        <f t="shared" si="34"/>
        <v>50</v>
      </c>
      <c r="BD94" s="242">
        <f t="shared" si="38"/>
        <v>46.045918367346054</v>
      </c>
      <c r="BE94" s="242">
        <f t="shared" si="35"/>
        <v>6161033.1632653046</v>
      </c>
      <c r="BF94" s="242">
        <f t="shared" si="36"/>
        <v>16684.027777777774</v>
      </c>
      <c r="BG94" s="243">
        <f t="shared" si="37"/>
        <v>1.063753876998385</v>
      </c>
      <c r="BK94" s="1"/>
      <c r="BL94" s="71"/>
      <c r="BM94" s="71"/>
      <c r="BN94" s="1"/>
      <c r="BQ94" s="2"/>
      <c r="BR94" s="2"/>
      <c r="BS94" s="82" t="s">
        <v>314</v>
      </c>
      <c r="BT94" s="82">
        <f>(AVERAGE(BT88:BT90))</f>
        <v>-0.8373443631022307</v>
      </c>
      <c r="CB94" s="160"/>
      <c r="CC94" s="160"/>
      <c r="CD94" s="160"/>
    </row>
    <row r="95" spans="1:82" x14ac:dyDescent="0.2">
      <c r="B95" s="275" t="s">
        <v>302</v>
      </c>
      <c r="C95" s="209">
        <v>2000</v>
      </c>
      <c r="D95" s="86">
        <v>2000</v>
      </c>
      <c r="E95" s="86">
        <v>0</v>
      </c>
      <c r="F95" s="286">
        <f>10000000000</f>
        <v>10000000000</v>
      </c>
      <c r="G95" s="87"/>
      <c r="H95" s="138" t="e">
        <f t="shared" ref="H95:H108" ca="1" si="39">MAX(I95/10,Cnapl($AJ$2,$AJ$3,$AJ$4,$AJ$5,$AJ$6,$AJ$7,$AJ$8,$AJ$9,$AJ$10,$AJ$11,$AJ$12,$AJ$13,$AJ$14,$AJ$15,$AJ$16,$AJ$17,$AJ$18,$AJ$19,$AJ$20,$AJ$21, D95*COS($AJ$23)-E95*SIN($AJ$23), D95*SIN($AJ$23)+E95*COS($AJ$23), C95,0))</f>
        <v>#NAME?</v>
      </c>
      <c r="I95" s="139">
        <v>0.01</v>
      </c>
      <c r="J95" s="166" t="e">
        <f t="shared" ca="1" si="26"/>
        <v>#NAME?</v>
      </c>
      <c r="K95" s="167" t="e">
        <f t="shared" ref="K95:K108" ca="1" si="40">IF(D95="","",IF(J$8="yes",LN(H95),H95))</f>
        <v>#NAME?</v>
      </c>
      <c r="L95" s="160">
        <v>0.10214900052456022</v>
      </c>
      <c r="M95" s="167">
        <f t="shared" si="27"/>
        <v>0</v>
      </c>
      <c r="N95" s="167" t="e">
        <f t="shared" ref="N95:N108" ca="1" si="41">IF(H95&lt;I95,0,IF(J$8="yes",SQRT(AY95),SQRT(H95*(EXP(AY95)-1))))</f>
        <v>#NAME?</v>
      </c>
      <c r="O95" s="164" t="e">
        <f t="shared" ref="O95:O108" ca="1" si="42">SQRT(L95)+N95+BG95*J$21</f>
        <v>#NAME?</v>
      </c>
      <c r="P95" s="221" t="e">
        <f t="shared" ca="1" si="32"/>
        <v>#NAME?</v>
      </c>
      <c r="Q95" s="221" t="e">
        <f t="shared" ca="1" si="33"/>
        <v>#NAME?</v>
      </c>
      <c r="R95" s="221" t="e">
        <f t="shared" ref="R95:R108" ca="1" si="43">Q95-H95</f>
        <v>#NAME?</v>
      </c>
      <c r="S95" s="221" t="e">
        <f t="shared" ref="S95:S108" ca="1" si="44">H95-P95</f>
        <v>#NAME?</v>
      </c>
      <c r="T95" s="161">
        <v>2.3231191312390647</v>
      </c>
      <c r="U95" s="161">
        <v>-0.55471449916328941</v>
      </c>
      <c r="V95" s="161">
        <v>4.8127984666405181</v>
      </c>
      <c r="W95" s="161">
        <v>0.79325988178469808</v>
      </c>
      <c r="X95" s="161">
        <v>1.271366454611939</v>
      </c>
      <c r="Y95" s="161">
        <v>7.6948645795448904E-3</v>
      </c>
      <c r="Z95" s="161">
        <v>-0.52088299363453738</v>
      </c>
      <c r="AA95" s="161">
        <v>-3.1055486355184001E-3</v>
      </c>
      <c r="AB95" s="154">
        <v>-0.45103995208087377</v>
      </c>
      <c r="AC95" s="154">
        <v>-0.37391669169933323</v>
      </c>
      <c r="AD95" s="161">
        <v>-9.9208703438643062E-2</v>
      </c>
      <c r="AE95" s="161">
        <v>-0.16154450363237557</v>
      </c>
      <c r="AF95" s="161">
        <v>-1.0855430482857891E-4</v>
      </c>
      <c r="AG95" s="161">
        <v>-1.0057735308819763E-4</v>
      </c>
      <c r="AK95" s="241"/>
      <c r="AL95" s="241"/>
      <c r="AM95" s="241"/>
      <c r="AN95" s="241"/>
      <c r="AO95" s="241"/>
      <c r="AP95" s="240"/>
      <c r="AQ95" s="240"/>
      <c r="AR95" s="240"/>
      <c r="AS95" s="241"/>
      <c r="AT95" s="241"/>
      <c r="AU95" s="241"/>
      <c r="AV95" s="241"/>
      <c r="AW95" s="241"/>
      <c r="AX95" s="241"/>
      <c r="AY95" s="241"/>
      <c r="BA95" s="240" t="str">
        <f t="shared" si="29"/>
        <v/>
      </c>
      <c r="BB95" s="240" t="str">
        <f t="shared" si="30"/>
        <v/>
      </c>
      <c r="BC95" s="240">
        <f t="shared" si="34"/>
        <v>0</v>
      </c>
      <c r="BD95" s="242">
        <f t="shared" si="38"/>
        <v>0.61734693877540814</v>
      </c>
      <c r="BE95" s="242">
        <f t="shared" si="35"/>
        <v>338890.30612244894</v>
      </c>
      <c r="BF95" s="242">
        <f t="shared" si="36"/>
        <v>32100.694444444442</v>
      </c>
      <c r="BG95" s="243">
        <f t="shared" si="37"/>
        <v>1.025883412377034</v>
      </c>
      <c r="BK95" s="1"/>
      <c r="BL95" s="71"/>
      <c r="BM95" s="71"/>
      <c r="BN95" s="1"/>
      <c r="BS95" s="1" t="s">
        <v>315</v>
      </c>
      <c r="BT95" s="82">
        <f>EXP(BT94)</f>
        <v>0.43285851347193693</v>
      </c>
      <c r="CB95" s="160"/>
      <c r="CC95" s="160"/>
      <c r="CD95" s="160"/>
    </row>
    <row r="96" spans="1:82" x14ac:dyDescent="0.2">
      <c r="B96" s="275" t="s">
        <v>302</v>
      </c>
      <c r="C96" s="209">
        <f t="shared" ref="C96:C115" si="45">C95+5</f>
        <v>2005</v>
      </c>
      <c r="D96" s="86">
        <f>D95</f>
        <v>2000</v>
      </c>
      <c r="E96" s="86">
        <v>0</v>
      </c>
      <c r="F96" s="286">
        <f t="shared" ref="F96:F115" si="46">10000000000</f>
        <v>10000000000</v>
      </c>
      <c r="G96" s="87"/>
      <c r="H96" s="138" t="e">
        <f t="shared" ca="1" si="39"/>
        <v>#NAME?</v>
      </c>
      <c r="I96" s="139">
        <v>0.01</v>
      </c>
      <c r="J96" s="166" t="e">
        <f t="shared" ca="1" si="26"/>
        <v>#NAME?</v>
      </c>
      <c r="K96" s="167" t="e">
        <f t="shared" ca="1" si="40"/>
        <v>#NAME?</v>
      </c>
      <c r="L96" s="160">
        <v>0.11412614233783198</v>
      </c>
      <c r="M96" s="167">
        <f t="shared" si="27"/>
        <v>0</v>
      </c>
      <c r="N96" s="167" t="e">
        <f t="shared" ca="1" si="41"/>
        <v>#NAME?</v>
      </c>
      <c r="O96" s="164" t="e">
        <f t="shared" ca="1" si="42"/>
        <v>#NAME?</v>
      </c>
      <c r="P96" s="221" t="e">
        <f t="shared" ca="1" si="32"/>
        <v>#NAME?</v>
      </c>
      <c r="Q96" s="221" t="e">
        <f t="shared" ca="1" si="33"/>
        <v>#NAME?</v>
      </c>
      <c r="R96" s="221" t="e">
        <f t="shared" ca="1" si="43"/>
        <v>#NAME?</v>
      </c>
      <c r="S96" s="221" t="e">
        <f t="shared" ca="1" si="44"/>
        <v>#NAME?</v>
      </c>
      <c r="T96" s="161">
        <v>2.1708673601968722</v>
      </c>
      <c r="U96" s="161">
        <v>-0.48042502243715279</v>
      </c>
      <c r="V96" s="161">
        <v>3.9491269454551956</v>
      </c>
      <c r="W96" s="161">
        <v>0.44654697583116371</v>
      </c>
      <c r="X96" s="161">
        <v>1.4728950077129719</v>
      </c>
      <c r="Y96" s="161">
        <v>2.7825231486215173E-3</v>
      </c>
      <c r="Z96" s="161">
        <v>-0.52080469937678964</v>
      </c>
      <c r="AA96" s="161">
        <v>-3.1055486355184001E-3</v>
      </c>
      <c r="AB96" s="154">
        <v>-0.47058494119938904</v>
      </c>
      <c r="AC96" s="154">
        <v>-0.37391669169933323</v>
      </c>
      <c r="AD96" s="161">
        <v>-3.5495277253466941E-2</v>
      </c>
      <c r="AE96" s="161">
        <v>-0.16090645764589723</v>
      </c>
      <c r="AF96" s="161">
        <v>-1.7587130369777575E-5</v>
      </c>
      <c r="AG96" s="161">
        <v>-1.683843234071046E-5</v>
      </c>
      <c r="AK96" s="241"/>
      <c r="AL96" s="241"/>
      <c r="AM96" s="241"/>
      <c r="AN96" s="241"/>
      <c r="AO96" s="241"/>
      <c r="AP96" s="240"/>
      <c r="AQ96" s="240"/>
      <c r="AR96" s="240"/>
      <c r="AS96" s="241"/>
      <c r="AT96" s="241"/>
      <c r="AU96" s="241"/>
      <c r="AV96" s="241"/>
      <c r="AW96" s="241"/>
      <c r="AX96" s="241"/>
      <c r="AY96" s="241"/>
      <c r="BA96" s="240" t="str">
        <f t="shared" si="29"/>
        <v/>
      </c>
      <c r="BB96" s="240" t="str">
        <f t="shared" si="30"/>
        <v/>
      </c>
      <c r="BC96" s="240">
        <f t="shared" si="34"/>
        <v>0</v>
      </c>
      <c r="BD96" s="242">
        <f t="shared" si="38"/>
        <v>33.474489795917613</v>
      </c>
      <c r="BE96" s="242">
        <f t="shared" si="35"/>
        <v>338890.30612244894</v>
      </c>
      <c r="BF96" s="242">
        <f t="shared" si="36"/>
        <v>32100.694444444442</v>
      </c>
      <c r="BG96" s="243">
        <f t="shared" si="37"/>
        <v>1.0291858064600263</v>
      </c>
      <c r="BK96" s="1"/>
      <c r="BL96" s="71"/>
      <c r="BM96" s="71"/>
      <c r="BN96" s="1"/>
      <c r="BS96" s="1" t="s">
        <v>316</v>
      </c>
      <c r="BT96" s="82">
        <f>STDEV(BT88:BT90)/SQRT(3-1)</f>
        <v>0.63094460360312943</v>
      </c>
      <c r="CB96" s="160"/>
      <c r="CC96" s="160"/>
      <c r="CD96" s="160"/>
    </row>
    <row r="97" spans="2:82" x14ac:dyDescent="0.2">
      <c r="B97" s="275" t="s">
        <v>302</v>
      </c>
      <c r="C97" s="209">
        <f t="shared" si="45"/>
        <v>2010</v>
      </c>
      <c r="D97" s="284">
        <f t="shared" ref="D97:D115" si="47">D96</f>
        <v>2000</v>
      </c>
      <c r="E97" s="86">
        <v>0</v>
      </c>
      <c r="F97" s="286">
        <f t="shared" si="46"/>
        <v>10000000000</v>
      </c>
      <c r="G97" s="87"/>
      <c r="H97" s="138" t="e">
        <f t="shared" ca="1" si="39"/>
        <v>#NAME?</v>
      </c>
      <c r="I97" s="139">
        <v>0.01</v>
      </c>
      <c r="J97" s="166" t="e">
        <f t="shared" ca="1" si="26"/>
        <v>#NAME?</v>
      </c>
      <c r="K97" s="167" t="e">
        <f t="shared" ca="1" si="40"/>
        <v>#NAME?</v>
      </c>
      <c r="L97" s="160">
        <v>0.12040815465159108</v>
      </c>
      <c r="M97" s="167">
        <f t="shared" si="27"/>
        <v>0</v>
      </c>
      <c r="N97" s="167" t="e">
        <f t="shared" ca="1" si="41"/>
        <v>#NAME?</v>
      </c>
      <c r="O97" s="164" t="e">
        <f t="shared" ca="1" si="42"/>
        <v>#NAME?</v>
      </c>
      <c r="P97" s="221" t="e">
        <f t="shared" ca="1" si="32"/>
        <v>#NAME?</v>
      </c>
      <c r="Q97" s="221" t="e">
        <f t="shared" ca="1" si="33"/>
        <v>#NAME?</v>
      </c>
      <c r="R97" s="221" t="e">
        <f t="shared" ca="1" si="43"/>
        <v>#NAME?</v>
      </c>
      <c r="S97" s="221" t="e">
        <f t="shared" ca="1" si="44"/>
        <v>#NAME?</v>
      </c>
      <c r="T97" s="161">
        <v>1.9979249550153946</v>
      </c>
      <c r="U97" s="161">
        <v>-0.39963478474115505</v>
      </c>
      <c r="V97" s="161">
        <v>3.0909026173852649</v>
      </c>
      <c r="W97" s="161">
        <v>0.26445686748929514</v>
      </c>
      <c r="X97" s="161">
        <v>1.5916313061912348</v>
      </c>
      <c r="Y97" s="161">
        <v>-3.2446659884863231E-3</v>
      </c>
      <c r="Z97" s="161">
        <v>-0.52075764005272485</v>
      </c>
      <c r="AA97" s="161">
        <v>-3.1055486355184001E-3</v>
      </c>
      <c r="AB97" s="154">
        <v>-0.48131189438081523</v>
      </c>
      <c r="AC97" s="154">
        <v>-0.37391669169933323</v>
      </c>
      <c r="AD97" s="161">
        <v>-1.1404637407962728E-2</v>
      </c>
      <c r="AE97" s="161">
        <v>-0.16052152034952979</v>
      </c>
      <c r="AF97" s="161">
        <v>-2.8403833457619934E-6</v>
      </c>
      <c r="AG97" s="161">
        <v>-2.8382424322929061E-6</v>
      </c>
      <c r="AK97" s="241"/>
      <c r="AL97" s="241"/>
      <c r="AM97" s="241"/>
      <c r="AN97" s="241"/>
      <c r="AO97" s="241"/>
      <c r="AP97" s="240"/>
      <c r="AQ97" s="240"/>
      <c r="AR97" s="240"/>
      <c r="AS97" s="241"/>
      <c r="AT97" s="241"/>
      <c r="AU97" s="241"/>
      <c r="AV97" s="241"/>
      <c r="AW97" s="241"/>
      <c r="AX97" s="241"/>
      <c r="AY97" s="241"/>
      <c r="BA97" s="240" t="str">
        <f t="shared" si="29"/>
        <v/>
      </c>
      <c r="BB97" s="240" t="str">
        <f t="shared" si="30"/>
        <v/>
      </c>
      <c r="BC97" s="240">
        <f t="shared" si="34"/>
        <v>0</v>
      </c>
      <c r="BD97" s="242">
        <f t="shared" si="38"/>
        <v>116.33163265305983</v>
      </c>
      <c r="BE97" s="242">
        <f t="shared" si="35"/>
        <v>338890.30612244894</v>
      </c>
      <c r="BF97" s="242">
        <f t="shared" si="36"/>
        <v>32100.694444444442</v>
      </c>
      <c r="BG97" s="243">
        <f t="shared" si="37"/>
        <v>1.0374669060385699</v>
      </c>
      <c r="BK97" s="1"/>
      <c r="BL97" s="71"/>
      <c r="BM97" s="71"/>
      <c r="BN97" s="1"/>
      <c r="BT97" s="1"/>
      <c r="CB97" s="160"/>
      <c r="CC97" s="160"/>
      <c r="CD97" s="160"/>
    </row>
    <row r="98" spans="2:82" x14ac:dyDescent="0.2">
      <c r="B98" s="275" t="s">
        <v>302</v>
      </c>
      <c r="C98" s="209">
        <f t="shared" si="45"/>
        <v>2015</v>
      </c>
      <c r="D98" s="284">
        <f t="shared" si="47"/>
        <v>2000</v>
      </c>
      <c r="E98" s="86">
        <v>0</v>
      </c>
      <c r="F98" s="286">
        <f t="shared" si="46"/>
        <v>10000000000</v>
      </c>
      <c r="G98" s="87"/>
      <c r="H98" s="138" t="e">
        <f t="shared" ca="1" si="39"/>
        <v>#NAME?</v>
      </c>
      <c r="I98" s="139">
        <v>0.01</v>
      </c>
      <c r="J98" s="166" t="e">
        <f t="shared" ca="1" si="26"/>
        <v>#NAME?</v>
      </c>
      <c r="K98" s="167" t="e">
        <f t="shared" ca="1" si="40"/>
        <v>#NAME?</v>
      </c>
      <c r="L98" s="160">
        <v>0.13113077267928516</v>
      </c>
      <c r="M98" s="167">
        <f t="shared" si="27"/>
        <v>0</v>
      </c>
      <c r="N98" s="167" t="e">
        <f t="shared" ca="1" si="41"/>
        <v>#NAME?</v>
      </c>
      <c r="O98" s="164" t="e">
        <f t="shared" ca="1" si="42"/>
        <v>#NAME?</v>
      </c>
      <c r="P98" s="221" t="e">
        <f t="shared" ca="1" si="32"/>
        <v>#NAME?</v>
      </c>
      <c r="Q98" s="221" t="e">
        <f t="shared" ca="1" si="33"/>
        <v>#NAME?</v>
      </c>
      <c r="R98" s="221" t="e">
        <f t="shared" ca="1" si="43"/>
        <v>#NAME?</v>
      </c>
      <c r="S98" s="221" t="e">
        <f t="shared" ca="1" si="44"/>
        <v>#NAME?</v>
      </c>
      <c r="T98" s="161">
        <v>1.8032153544754908</v>
      </c>
      <c r="U98" s="161">
        <v>-0.3125960305170607</v>
      </c>
      <c r="V98" s="161">
        <v>2.269962163720479</v>
      </c>
      <c r="W98" s="161">
        <v>0.14240595976623349</v>
      </c>
      <c r="X98" s="161">
        <v>1.6966061651245055</v>
      </c>
      <c r="Y98" s="161">
        <v>-1.1925778345826568E-2</v>
      </c>
      <c r="Z98" s="161">
        <v>-0.52071494370848448</v>
      </c>
      <c r="AA98" s="161">
        <v>-3.1055486355181117E-3</v>
      </c>
      <c r="AB98" s="154">
        <v>-0.48883221814656458</v>
      </c>
      <c r="AC98" s="154">
        <v>-0.37391669169933323</v>
      </c>
      <c r="AD98" s="161">
        <v>-3.2262679416254114E-3</v>
      </c>
      <c r="AE98" s="161">
        <v>-0.16017127167890133</v>
      </c>
      <c r="AF98" s="161">
        <v>-4.6372530578382481E-7</v>
      </c>
      <c r="AG98" s="161">
        <v>-4.892256355931842E-7</v>
      </c>
      <c r="AK98" s="241"/>
      <c r="AL98" s="241"/>
      <c r="AM98" s="241"/>
      <c r="AN98" s="241"/>
      <c r="AO98" s="241"/>
      <c r="AP98" s="240"/>
      <c r="AQ98" s="240"/>
      <c r="AR98" s="240"/>
      <c r="AS98" s="241"/>
      <c r="AT98" s="241"/>
      <c r="AU98" s="241"/>
      <c r="AV98" s="241"/>
      <c r="AW98" s="241"/>
      <c r="AX98" s="241"/>
      <c r="AY98" s="241"/>
      <c r="BA98" s="240" t="str">
        <f t="shared" si="29"/>
        <v/>
      </c>
      <c r="BB98" s="240" t="str">
        <f t="shared" si="30"/>
        <v/>
      </c>
      <c r="BC98" s="240">
        <f t="shared" si="34"/>
        <v>0</v>
      </c>
      <c r="BD98" s="242">
        <f t="shared" si="38"/>
        <v>249.18877551020202</v>
      </c>
      <c r="BE98" s="242">
        <f t="shared" si="35"/>
        <v>338890.30612244894</v>
      </c>
      <c r="BF98" s="242">
        <f t="shared" si="36"/>
        <v>32100.694444444442</v>
      </c>
      <c r="BG98" s="243">
        <f t="shared" si="37"/>
        <v>1.0506089884013714</v>
      </c>
      <c r="BK98" s="1"/>
      <c r="BL98" s="1"/>
      <c r="BM98" s="1"/>
      <c r="BN98" s="1"/>
      <c r="BS98" s="1" t="s">
        <v>318</v>
      </c>
      <c r="BT98" s="81">
        <f>AVERAGE(BR88:BR90)*0.065*10*60/1000000</f>
        <v>7.9203035240612937E-2</v>
      </c>
      <c r="CB98" s="160"/>
      <c r="CC98" s="160"/>
      <c r="CD98" s="160"/>
    </row>
    <row r="99" spans="2:82" x14ac:dyDescent="0.2">
      <c r="B99" s="275" t="s">
        <v>302</v>
      </c>
      <c r="C99" s="209">
        <f t="shared" si="45"/>
        <v>2020</v>
      </c>
      <c r="D99" s="284">
        <f t="shared" si="47"/>
        <v>2000</v>
      </c>
      <c r="E99" s="86">
        <v>0</v>
      </c>
      <c r="F99" s="286">
        <f t="shared" si="46"/>
        <v>10000000000</v>
      </c>
      <c r="G99" s="87"/>
      <c r="H99" s="138" t="e">
        <f t="shared" ca="1" si="39"/>
        <v>#NAME?</v>
      </c>
      <c r="I99" s="139">
        <v>0.01</v>
      </c>
      <c r="J99" s="166" t="e">
        <f t="shared" ca="1" si="26"/>
        <v>#NAME?</v>
      </c>
      <c r="K99" s="167" t="e">
        <f t="shared" ca="1" si="40"/>
        <v>#NAME?</v>
      </c>
      <c r="L99" s="160">
        <v>0.14889456315238081</v>
      </c>
      <c r="M99" s="167">
        <f t="shared" si="27"/>
        <v>0</v>
      </c>
      <c r="N99" s="167" t="e">
        <f t="shared" ca="1" si="41"/>
        <v>#NAME?</v>
      </c>
      <c r="O99" s="164" t="e">
        <f t="shared" ca="1" si="42"/>
        <v>#NAME?</v>
      </c>
      <c r="P99" s="221" t="e">
        <f t="shared" ca="1" si="32"/>
        <v>#NAME?</v>
      </c>
      <c r="Q99" s="221" t="e">
        <f t="shared" ca="1" si="33"/>
        <v>#NAME?</v>
      </c>
      <c r="R99" s="221" t="e">
        <f t="shared" ca="1" si="43"/>
        <v>#NAME?</v>
      </c>
      <c r="S99" s="221" t="e">
        <f t="shared" ca="1" si="44"/>
        <v>#NAME?</v>
      </c>
      <c r="T99" s="161">
        <v>1.5834575698405031</v>
      </c>
      <c r="U99" s="161">
        <v>-0.21873292931885513</v>
      </c>
      <c r="V99" s="161">
        <v>1.5092573081837928</v>
      </c>
      <c r="W99" s="161">
        <v>3.2643897652691628E-2</v>
      </c>
      <c r="X99" s="161">
        <v>1.8105169310760472</v>
      </c>
      <c r="Y99" s="161">
        <v>-2.3056349287131333E-2</v>
      </c>
      <c r="Z99" s="161">
        <v>-0.52066816754369172</v>
      </c>
      <c r="AA99" s="161">
        <v>-3.1047434406084587E-3</v>
      </c>
      <c r="AB99" s="154">
        <v>-0.49578855783983578</v>
      </c>
      <c r="AC99" s="154">
        <v>-0.3739166916993335</v>
      </c>
      <c r="AD99" s="161">
        <v>-8.112902672769021E-4</v>
      </c>
      <c r="AE99" s="161">
        <v>-0.15978727854981753</v>
      </c>
      <c r="AF99" s="161">
        <v>-7.736715692728841E-8</v>
      </c>
      <c r="AG99" s="161">
        <v>-8.744042066911538E-8</v>
      </c>
      <c r="AK99" s="241"/>
      <c r="AL99" s="241"/>
      <c r="AM99" s="241"/>
      <c r="AN99" s="241"/>
      <c r="AO99" s="241"/>
      <c r="AP99" s="240"/>
      <c r="AQ99" s="240"/>
      <c r="AR99" s="240"/>
      <c r="AS99" s="241"/>
      <c r="AT99" s="241"/>
      <c r="AU99" s="241"/>
      <c r="AV99" s="241"/>
      <c r="AW99" s="241"/>
      <c r="AX99" s="241"/>
      <c r="AY99" s="241"/>
      <c r="BA99" s="240" t="str">
        <f t="shared" si="29"/>
        <v/>
      </c>
      <c r="BB99" s="240" t="str">
        <f t="shared" si="30"/>
        <v/>
      </c>
      <c r="BC99" s="240">
        <f t="shared" si="34"/>
        <v>0</v>
      </c>
      <c r="BD99" s="242">
        <f t="shared" si="38"/>
        <v>432.04591836734426</v>
      </c>
      <c r="BE99" s="242">
        <f t="shared" si="35"/>
        <v>338890.30612244894</v>
      </c>
      <c r="BF99" s="242">
        <f t="shared" si="36"/>
        <v>32100.694444444442</v>
      </c>
      <c r="BG99" s="243">
        <f t="shared" si="37"/>
        <v>1.0684326934216795</v>
      </c>
      <c r="BK99" s="1"/>
      <c r="BL99" s="1"/>
      <c r="BM99" s="1"/>
      <c r="BN99" s="1"/>
      <c r="BT99" s="1"/>
      <c r="CB99" s="160"/>
      <c r="CC99" s="160"/>
      <c r="CD99" s="160"/>
    </row>
    <row r="100" spans="2:82" x14ac:dyDescent="0.2">
      <c r="B100" s="275" t="s">
        <v>302</v>
      </c>
      <c r="C100" s="209">
        <f t="shared" si="45"/>
        <v>2025</v>
      </c>
      <c r="D100" s="284">
        <f t="shared" si="47"/>
        <v>2000</v>
      </c>
      <c r="E100" s="86">
        <v>0</v>
      </c>
      <c r="F100" s="286">
        <f t="shared" si="46"/>
        <v>10000000000</v>
      </c>
      <c r="G100" s="87"/>
      <c r="H100" s="138" t="e">
        <f t="shared" ca="1" si="39"/>
        <v>#NAME?</v>
      </c>
      <c r="I100" s="139">
        <v>0.01</v>
      </c>
      <c r="J100" s="166" t="e">
        <f t="shared" ca="1" si="26"/>
        <v>#NAME?</v>
      </c>
      <c r="K100" s="167" t="e">
        <f t="shared" ca="1" si="40"/>
        <v>#NAME?</v>
      </c>
      <c r="L100" s="160">
        <v>0.1713773413391991</v>
      </c>
      <c r="M100" s="167">
        <f t="shared" si="27"/>
        <v>0</v>
      </c>
      <c r="N100" s="167" t="e">
        <f t="shared" ca="1" si="41"/>
        <v>#NAME?</v>
      </c>
      <c r="O100" s="164" t="e">
        <f t="shared" ca="1" si="42"/>
        <v>#NAME?</v>
      </c>
      <c r="P100" s="221" t="e">
        <f t="shared" ca="1" si="32"/>
        <v>#NAME?</v>
      </c>
      <c r="Q100" s="221" t="e">
        <f t="shared" ca="1" si="33"/>
        <v>#NAME?</v>
      </c>
      <c r="R100" s="221" t="e">
        <f t="shared" ca="1" si="43"/>
        <v>#NAME?</v>
      </c>
      <c r="S100" s="221" t="e">
        <f t="shared" ca="1" si="44"/>
        <v>#NAME?</v>
      </c>
      <c r="T100" s="161">
        <v>1.3338281367477118</v>
      </c>
      <c r="U100" s="161">
        <v>-0.11706813049971722</v>
      </c>
      <c r="V100" s="161">
        <v>0.83253170916409247</v>
      </c>
      <c r="W100" s="161">
        <v>-8.4908874320174452E-2</v>
      </c>
      <c r="X100" s="161">
        <v>1.9422158784431185</v>
      </c>
      <c r="Y100" s="161">
        <v>-3.6327441316150254E-2</v>
      </c>
      <c r="Z100" s="161">
        <v>-0.5206140103846616</v>
      </c>
      <c r="AA100" s="161">
        <v>-2.9888531481724726E-3</v>
      </c>
      <c r="AB100" s="154">
        <v>-0.50334490273990551</v>
      </c>
      <c r="AC100" s="154">
        <v>-0.3739166916993335</v>
      </c>
      <c r="AD100" s="161">
        <v>-1.8629810932534196E-4</v>
      </c>
      <c r="AE100" s="161">
        <v>-0.15934273079165476</v>
      </c>
      <c r="AF100" s="161">
        <v>-1.3319316681740603E-8</v>
      </c>
      <c r="AG100" s="161">
        <v>-1.6444011783004561E-8</v>
      </c>
      <c r="AK100" s="241"/>
      <c r="AL100" s="241"/>
      <c r="AM100" s="241"/>
      <c r="AN100" s="241"/>
      <c r="AO100" s="241"/>
      <c r="AP100" s="240"/>
      <c r="AQ100" s="240"/>
      <c r="AR100" s="240"/>
      <c r="AS100" s="241"/>
      <c r="AT100" s="241"/>
      <c r="AU100" s="241"/>
      <c r="AV100" s="241"/>
      <c r="AW100" s="241"/>
      <c r="AX100" s="241"/>
      <c r="AY100" s="241"/>
      <c r="BA100" s="240" t="str">
        <f t="shared" si="29"/>
        <v/>
      </c>
      <c r="BB100" s="240" t="str">
        <f t="shared" si="30"/>
        <v/>
      </c>
      <c r="BC100" s="240">
        <f t="shared" si="34"/>
        <v>0</v>
      </c>
      <c r="BD100" s="242">
        <f t="shared" si="38"/>
        <v>664.90306122448646</v>
      </c>
      <c r="BE100" s="242">
        <f t="shared" si="35"/>
        <v>338890.30612244894</v>
      </c>
      <c r="BF100" s="242">
        <f t="shared" si="36"/>
        <v>32100.694444444442</v>
      </c>
      <c r="BG100" s="243">
        <f t="shared" si="37"/>
        <v>1.0907085324287589</v>
      </c>
      <c r="BK100" s="1"/>
      <c r="BL100" s="1"/>
      <c r="BM100" s="1"/>
      <c r="BN100" s="1"/>
      <c r="BT100" s="1"/>
      <c r="CB100" s="160"/>
      <c r="CC100" s="160"/>
      <c r="CD100" s="160"/>
    </row>
    <row r="101" spans="2:82" x14ac:dyDescent="0.2">
      <c r="B101" s="275" t="s">
        <v>302</v>
      </c>
      <c r="C101" s="209">
        <f t="shared" si="45"/>
        <v>2030</v>
      </c>
      <c r="D101" s="284">
        <f t="shared" si="47"/>
        <v>2000</v>
      </c>
      <c r="E101" s="86">
        <v>0</v>
      </c>
      <c r="F101" s="286">
        <f t="shared" si="46"/>
        <v>10000000000</v>
      </c>
      <c r="G101" s="87"/>
      <c r="H101" s="138" t="e">
        <f t="shared" ca="1" si="39"/>
        <v>#NAME?</v>
      </c>
      <c r="I101" s="139">
        <v>0.01</v>
      </c>
      <c r="J101" s="166" t="e">
        <f t="shared" ca="1" si="26"/>
        <v>#NAME?</v>
      </c>
      <c r="K101" s="167" t="e">
        <f t="shared" ca="1" si="40"/>
        <v>#NAME?</v>
      </c>
      <c r="L101" s="160">
        <v>0.19485580336975561</v>
      </c>
      <c r="M101" s="167">
        <f t="shared" si="27"/>
        <v>0</v>
      </c>
      <c r="N101" s="167" t="e">
        <f t="shared" ca="1" si="41"/>
        <v>#NAME?</v>
      </c>
      <c r="O101" s="164" t="e">
        <f t="shared" ca="1" si="42"/>
        <v>#NAME?</v>
      </c>
      <c r="P101" s="221" t="e">
        <f t="shared" ca="1" si="32"/>
        <v>#NAME?</v>
      </c>
      <c r="Q101" s="221" t="e">
        <f t="shared" ca="1" si="33"/>
        <v>#NAME?</v>
      </c>
      <c r="R101" s="221" t="e">
        <f t="shared" ca="1" si="43"/>
        <v>#NAME?</v>
      </c>
      <c r="S101" s="221" t="e">
        <f t="shared" ca="1" si="44"/>
        <v>#NAME?</v>
      </c>
      <c r="T101" s="161">
        <v>1.0479497057075522</v>
      </c>
      <c r="U101" s="161">
        <v>-6.3183656203294617E-3</v>
      </c>
      <c r="V101" s="161">
        <v>0.26952720503445299</v>
      </c>
      <c r="W101" s="161">
        <v>-0.21998684690115217</v>
      </c>
      <c r="X101" s="161">
        <v>2.0980705214544924</v>
      </c>
      <c r="Y101" s="161">
        <v>-5.1551973127424551E-2</v>
      </c>
      <c r="Z101" s="161">
        <v>-0.52054998279985121</v>
      </c>
      <c r="AA101" s="161">
        <v>-2.2411974939917545E-3</v>
      </c>
      <c r="AB101" s="154">
        <v>-0.5121183110978127</v>
      </c>
      <c r="AC101" s="154">
        <v>-0.3739166916993335</v>
      </c>
      <c r="AD101" s="161">
        <v>-4.0378188434032563E-5</v>
      </c>
      <c r="AE101" s="161">
        <v>-0.15881732426819589</v>
      </c>
      <c r="AF101" s="161">
        <v>-2.3900244219589509E-9</v>
      </c>
      <c r="AG101" s="161">
        <v>-3.3107064214529028E-9</v>
      </c>
      <c r="AK101" s="241"/>
      <c r="AL101" s="241"/>
      <c r="AM101" s="241"/>
      <c r="AN101" s="241"/>
      <c r="AO101" s="241"/>
      <c r="AP101" s="240"/>
      <c r="AQ101" s="240"/>
      <c r="AR101" s="240"/>
      <c r="AS101" s="241"/>
      <c r="AT101" s="241"/>
      <c r="AU101" s="241"/>
      <c r="AV101" s="241"/>
      <c r="AW101" s="241"/>
      <c r="AX101" s="241"/>
      <c r="AY101" s="241"/>
      <c r="BA101" s="240" t="str">
        <f t="shared" si="29"/>
        <v/>
      </c>
      <c r="BB101" s="240" t="str">
        <f t="shared" si="30"/>
        <v/>
      </c>
      <c r="BC101" s="240">
        <f t="shared" si="34"/>
        <v>0</v>
      </c>
      <c r="BD101" s="242">
        <f t="shared" si="38"/>
        <v>947.76020408162867</v>
      </c>
      <c r="BE101" s="242">
        <f t="shared" si="35"/>
        <v>338890.30612244894</v>
      </c>
      <c r="BF101" s="242">
        <f t="shared" si="36"/>
        <v>32100.694444444442</v>
      </c>
      <c r="BG101" s="243">
        <f t="shared" si="37"/>
        <v>1.1171702169014046</v>
      </c>
      <c r="BK101" s="1"/>
      <c r="BL101" s="1"/>
      <c r="BM101" s="1"/>
      <c r="BN101" s="1"/>
      <c r="BT101" s="1"/>
      <c r="CB101" s="160"/>
      <c r="CC101" s="160"/>
      <c r="CD101" s="160"/>
    </row>
    <row r="102" spans="2:82" x14ac:dyDescent="0.2">
      <c r="B102" s="275" t="s">
        <v>302</v>
      </c>
      <c r="C102" s="209">
        <f t="shared" si="45"/>
        <v>2035</v>
      </c>
      <c r="D102" s="284">
        <f t="shared" si="47"/>
        <v>2000</v>
      </c>
      <c r="E102" s="86">
        <v>0</v>
      </c>
      <c r="F102" s="286">
        <f t="shared" si="46"/>
        <v>10000000000</v>
      </c>
      <c r="G102" s="87"/>
      <c r="H102" s="138" t="e">
        <f t="shared" ca="1" si="39"/>
        <v>#NAME?</v>
      </c>
      <c r="I102" s="139">
        <v>0.01</v>
      </c>
      <c r="J102" s="166" t="e">
        <f t="shared" ca="1" si="26"/>
        <v>#NAME?</v>
      </c>
      <c r="K102" s="167" t="e">
        <f t="shared" ca="1" si="40"/>
        <v>#NAME?</v>
      </c>
      <c r="L102" s="160">
        <v>0.2168446318027015</v>
      </c>
      <c r="M102" s="167">
        <f t="shared" si="27"/>
        <v>0</v>
      </c>
      <c r="N102" s="167" t="e">
        <f t="shared" ca="1" si="41"/>
        <v>#NAME?</v>
      </c>
      <c r="O102" s="164" t="e">
        <f t="shared" ca="1" si="42"/>
        <v>#NAME?</v>
      </c>
      <c r="P102" s="221" t="e">
        <f t="shared" ca="1" si="32"/>
        <v>#NAME?</v>
      </c>
      <c r="Q102" s="221" t="e">
        <f t="shared" ca="1" si="33"/>
        <v>#NAME?</v>
      </c>
      <c r="R102" s="221" t="e">
        <f t="shared" ca="1" si="43"/>
        <v>#NAME?</v>
      </c>
      <c r="S102" s="221" t="e">
        <f t="shared" ca="1" si="44"/>
        <v>#NAME?</v>
      </c>
      <c r="T102" s="161">
        <v>0.71747018872232449</v>
      </c>
      <c r="U102" s="161">
        <v>0.11515088743043926</v>
      </c>
      <c r="V102" s="161">
        <v>-0.14021859869255249</v>
      </c>
      <c r="W102" s="161">
        <v>-0.37982466506999757</v>
      </c>
      <c r="X102" s="161">
        <v>2.2855402702651655</v>
      </c>
      <c r="Y102" s="161">
        <v>-6.8572253194235655E-2</v>
      </c>
      <c r="Z102" s="161">
        <v>-0.5204731048247242</v>
      </c>
      <c r="AA102" s="161">
        <v>-1.1668276589119001E-3</v>
      </c>
      <c r="AB102" s="154">
        <v>-0.52261540608937873</v>
      </c>
      <c r="AC102" s="154">
        <v>-0.37391669169933339</v>
      </c>
      <c r="AD102" s="161">
        <v>-8.5191222661085816E-6</v>
      </c>
      <c r="AE102" s="161">
        <v>-0.15818672582689106</v>
      </c>
      <c r="AF102" s="161">
        <v>-4.508772561141374E-10</v>
      </c>
      <c r="AG102" s="161">
        <v>-7.2913464394008401E-10</v>
      </c>
      <c r="AK102" s="241"/>
      <c r="AL102" s="241"/>
      <c r="AM102" s="241"/>
      <c r="AN102" s="241"/>
      <c r="AO102" s="241"/>
      <c r="AP102" s="240"/>
      <c r="AQ102" s="240"/>
      <c r="AR102" s="240"/>
      <c r="AS102" s="241"/>
      <c r="AT102" s="241"/>
      <c r="AU102" s="241"/>
      <c r="AV102" s="241"/>
      <c r="AW102" s="241"/>
      <c r="AX102" s="241"/>
      <c r="AY102" s="241"/>
      <c r="BA102" s="240" t="str">
        <f t="shared" si="29"/>
        <v/>
      </c>
      <c r="BB102" s="240" t="str">
        <f t="shared" si="30"/>
        <v/>
      </c>
      <c r="BC102" s="240">
        <f t="shared" si="34"/>
        <v>0</v>
      </c>
      <c r="BD102" s="242">
        <f t="shared" si="38"/>
        <v>1280.6173469387709</v>
      </c>
      <c r="BE102" s="242">
        <f t="shared" si="35"/>
        <v>338890.30612244894</v>
      </c>
      <c r="BF102" s="242">
        <f t="shared" si="36"/>
        <v>32100.694444444442</v>
      </c>
      <c r="BG102" s="243">
        <f t="shared" si="37"/>
        <v>1.1475282100359046</v>
      </c>
      <c r="BK102" s="1"/>
      <c r="BL102" s="1"/>
      <c r="BM102" s="1"/>
      <c r="BN102" s="1"/>
      <c r="BT102" s="1"/>
      <c r="CB102" s="160"/>
      <c r="CC102" s="160"/>
      <c r="CD102" s="160"/>
    </row>
    <row r="103" spans="2:82" x14ac:dyDescent="0.2">
      <c r="B103" s="275" t="s">
        <v>302</v>
      </c>
      <c r="C103" s="209">
        <f t="shared" si="45"/>
        <v>2040</v>
      </c>
      <c r="D103" s="284">
        <f t="shared" si="47"/>
        <v>2000</v>
      </c>
      <c r="E103" s="86">
        <v>0</v>
      </c>
      <c r="F103" s="286">
        <f t="shared" si="46"/>
        <v>10000000000</v>
      </c>
      <c r="G103" s="87"/>
      <c r="H103" s="138" t="e">
        <f t="shared" ca="1" si="39"/>
        <v>#NAME?</v>
      </c>
      <c r="I103" s="139">
        <v>0.01</v>
      </c>
      <c r="J103" s="166" t="e">
        <f t="shared" ca="1" si="26"/>
        <v>#NAME?</v>
      </c>
      <c r="K103" s="167" t="e">
        <f t="shared" ca="1" si="40"/>
        <v>#NAME?</v>
      </c>
      <c r="L103" s="160">
        <v>0.2395431132001212</v>
      </c>
      <c r="M103" s="167">
        <f t="shared" si="27"/>
        <v>0</v>
      </c>
      <c r="N103" s="167" t="e">
        <f t="shared" ca="1" si="41"/>
        <v>#NAME?</v>
      </c>
      <c r="O103" s="164" t="e">
        <f t="shared" ca="1" si="42"/>
        <v>#NAME?</v>
      </c>
      <c r="P103" s="221" t="e">
        <f t="shared" ca="1" si="32"/>
        <v>#NAME?</v>
      </c>
      <c r="Q103" s="221" t="e">
        <f t="shared" ca="1" si="33"/>
        <v>#NAME?</v>
      </c>
      <c r="R103" s="221" t="e">
        <f t="shared" ca="1" si="43"/>
        <v>#NAME?</v>
      </c>
      <c r="S103" s="221" t="e">
        <f t="shared" ca="1" si="44"/>
        <v>#NAME?</v>
      </c>
      <c r="T103" s="161">
        <v>0.33133522078612365</v>
      </c>
      <c r="U103" s="161">
        <v>0.24943613358952188</v>
      </c>
      <c r="V103" s="161">
        <v>-0.34298247406650545</v>
      </c>
      <c r="W103" s="161">
        <v>-0.57251904134771858</v>
      </c>
      <c r="X103" s="161">
        <v>2.5149262983218206</v>
      </c>
      <c r="Y103" s="161">
        <v>-8.7055314073081425E-2</v>
      </c>
      <c r="Z103" s="161">
        <v>-0.52037925544986008</v>
      </c>
      <c r="AA103" s="161">
        <v>-4.5988762664739047E-4</v>
      </c>
      <c r="AB103" s="154">
        <v>-0.53543606306171676</v>
      </c>
      <c r="AC103" s="154">
        <v>-0.37391669169933339</v>
      </c>
      <c r="AD103" s="161">
        <v>-1.7387047114429481E-6</v>
      </c>
      <c r="AE103" s="161">
        <v>-0.15741730138986784</v>
      </c>
      <c r="AF103" s="161">
        <v>-8.8715310259414851E-11</v>
      </c>
      <c r="AG103" s="161">
        <v>-1.8154086857081621E-10</v>
      </c>
      <c r="AK103" s="241"/>
      <c r="AL103" s="241"/>
      <c r="AM103" s="241"/>
      <c r="AN103" s="241"/>
      <c r="AO103" s="241"/>
      <c r="AP103" s="240"/>
      <c r="AQ103" s="240"/>
      <c r="AR103" s="240"/>
      <c r="AS103" s="241"/>
      <c r="AT103" s="241"/>
      <c r="AU103" s="241"/>
      <c r="AV103" s="241"/>
      <c r="AW103" s="241"/>
      <c r="AX103" s="241"/>
      <c r="AY103" s="241"/>
      <c r="BA103" s="240" t="str">
        <f t="shared" si="29"/>
        <v/>
      </c>
      <c r="BB103" s="240" t="str">
        <f t="shared" si="30"/>
        <v/>
      </c>
      <c r="BC103" s="240">
        <f t="shared" si="34"/>
        <v>0</v>
      </c>
      <c r="BD103" s="242">
        <f t="shared" si="38"/>
        <v>1663.4744897959131</v>
      </c>
      <c r="BE103" s="242">
        <f t="shared" si="35"/>
        <v>338890.30612244894</v>
      </c>
      <c r="BF103" s="242">
        <f t="shared" si="36"/>
        <v>32100.694444444442</v>
      </c>
      <c r="BG103" s="243">
        <f t="shared" si="37"/>
        <v>1.1814822049455185</v>
      </c>
      <c r="BK103" s="1"/>
      <c r="BL103" s="1"/>
      <c r="BM103" s="1"/>
      <c r="BN103" s="1"/>
      <c r="BT103" s="1"/>
      <c r="CB103" s="160"/>
      <c r="CC103" s="160"/>
      <c r="CD103" s="160"/>
    </row>
    <row r="104" spans="2:82" x14ac:dyDescent="0.2">
      <c r="B104" s="275" t="s">
        <v>302</v>
      </c>
      <c r="C104" s="209">
        <f t="shared" si="45"/>
        <v>2045</v>
      </c>
      <c r="D104" s="284">
        <f t="shared" si="47"/>
        <v>2000</v>
      </c>
      <c r="E104" s="86">
        <v>0</v>
      </c>
      <c r="F104" s="286">
        <f t="shared" si="46"/>
        <v>10000000000</v>
      </c>
      <c r="G104" s="87"/>
      <c r="H104" s="138" t="e">
        <f t="shared" ca="1" si="39"/>
        <v>#NAME?</v>
      </c>
      <c r="I104" s="139">
        <v>0.01</v>
      </c>
      <c r="J104" s="166" t="e">
        <f t="shared" ca="1" si="26"/>
        <v>#NAME?</v>
      </c>
      <c r="K104" s="167" t="e">
        <f t="shared" ca="1" si="40"/>
        <v>#NAME?</v>
      </c>
      <c r="L104" s="160">
        <v>0.2764488858749054</v>
      </c>
      <c r="M104" s="167">
        <f t="shared" si="27"/>
        <v>0</v>
      </c>
      <c r="N104" s="167" t="e">
        <f t="shared" ca="1" si="41"/>
        <v>#NAME?</v>
      </c>
      <c r="O104" s="164" t="e">
        <f t="shared" ca="1" si="42"/>
        <v>#NAME?</v>
      </c>
      <c r="P104" s="221" t="e">
        <f t="shared" ca="1" si="32"/>
        <v>#NAME?</v>
      </c>
      <c r="Q104" s="221" t="e">
        <f t="shared" ca="1" si="33"/>
        <v>#NAME?</v>
      </c>
      <c r="R104" s="221" t="e">
        <f t="shared" ca="1" si="43"/>
        <v>#NAME?</v>
      </c>
      <c r="S104" s="221" t="e">
        <f t="shared" ca="1" si="44"/>
        <v>#NAME?</v>
      </c>
      <c r="T104" s="161">
        <v>-0.12530893950800759</v>
      </c>
      <c r="U104" s="161">
        <v>0.39926815750215655</v>
      </c>
      <c r="V104" s="161">
        <v>-0.26470671818763691</v>
      </c>
      <c r="W104" s="161">
        <v>-0.80895462987501421</v>
      </c>
      <c r="X104" s="161">
        <v>2.8011672075637564</v>
      </c>
      <c r="Y104" s="161">
        <v>-0.10612320429906685</v>
      </c>
      <c r="Z104" s="161">
        <v>-0.52026249000362335</v>
      </c>
      <c r="AA104" s="161">
        <v>-1.5575448449358696E-4</v>
      </c>
      <c r="AB104" s="154">
        <v>-0.55141283221347592</v>
      </c>
      <c r="AC104" s="154">
        <v>-0.37391669169933339</v>
      </c>
      <c r="AD104" s="161">
        <v>-3.5991301792251553E-7</v>
      </c>
      <c r="AE104" s="161">
        <v>-0.1564605883779096</v>
      </c>
      <c r="AF104" s="161">
        <v>-1.8805365579150232E-11</v>
      </c>
      <c r="AG104" s="161">
        <v>-5.3790281004309414E-11</v>
      </c>
      <c r="AK104" s="241"/>
      <c r="AL104" s="241"/>
      <c r="AM104" s="241"/>
      <c r="AN104" s="241"/>
      <c r="AO104" s="241"/>
      <c r="AP104" s="240"/>
      <c r="AQ104" s="240"/>
      <c r="AR104" s="240"/>
      <c r="AS104" s="241"/>
      <c r="AT104" s="241"/>
      <c r="AU104" s="241"/>
      <c r="AV104" s="241"/>
      <c r="AW104" s="241"/>
      <c r="AX104" s="241"/>
      <c r="AY104" s="241"/>
      <c r="BA104" s="240" t="str">
        <f t="shared" si="29"/>
        <v/>
      </c>
      <c r="BB104" s="240" t="str">
        <f t="shared" si="30"/>
        <v/>
      </c>
      <c r="BC104" s="240">
        <f t="shared" si="34"/>
        <v>0</v>
      </c>
      <c r="BD104" s="242">
        <f t="shared" si="38"/>
        <v>2096.3316326530553</v>
      </c>
      <c r="BE104" s="242">
        <f t="shared" si="35"/>
        <v>338890.30612244894</v>
      </c>
      <c r="BF104" s="242">
        <f t="shared" si="36"/>
        <v>32100.694444444442</v>
      </c>
      <c r="BG104" s="243">
        <f t="shared" si="37"/>
        <v>1.2187316837005933</v>
      </c>
      <c r="BK104" s="1"/>
      <c r="BL104" s="1"/>
      <c r="BM104" s="1"/>
      <c r="BN104" s="1"/>
      <c r="BR104" s="1">
        <v>3716.7311239358346</v>
      </c>
      <c r="BS104" s="1">
        <v>719.72661118449309</v>
      </c>
      <c r="BT104" s="1"/>
      <c r="CB104" s="160"/>
      <c r="CC104" s="160"/>
      <c r="CD104" s="160"/>
    </row>
    <row r="105" spans="2:82" x14ac:dyDescent="0.2">
      <c r="B105" s="275" t="s">
        <v>302</v>
      </c>
      <c r="C105" s="209">
        <f t="shared" si="45"/>
        <v>2050</v>
      </c>
      <c r="D105" s="284">
        <f t="shared" si="47"/>
        <v>2000</v>
      </c>
      <c r="E105" s="86">
        <v>0</v>
      </c>
      <c r="F105" s="286">
        <f t="shared" si="46"/>
        <v>10000000000</v>
      </c>
      <c r="G105" s="87"/>
      <c r="H105" s="138" t="e">
        <f t="shared" ca="1" si="39"/>
        <v>#NAME?</v>
      </c>
      <c r="I105" s="139">
        <v>0.01</v>
      </c>
      <c r="J105" s="166" t="e">
        <f t="shared" ca="1" si="26"/>
        <v>#NAME?</v>
      </c>
      <c r="K105" s="167" t="e">
        <f t="shared" ca="1" si="40"/>
        <v>#NAME?</v>
      </c>
      <c r="L105" s="160">
        <v>0.36591868593370075</v>
      </c>
      <c r="M105" s="167">
        <f t="shared" si="27"/>
        <v>0</v>
      </c>
      <c r="N105" s="167" t="e">
        <f t="shared" ca="1" si="41"/>
        <v>#NAME?</v>
      </c>
      <c r="O105" s="164" t="e">
        <f t="shared" ca="1" si="42"/>
        <v>#NAME?</v>
      </c>
      <c r="P105" s="221" t="e">
        <f t="shared" ca="1" si="32"/>
        <v>#NAME?</v>
      </c>
      <c r="Q105" s="221" t="e">
        <f t="shared" ca="1" si="33"/>
        <v>#NAME?</v>
      </c>
      <c r="R105" s="221" t="e">
        <f t="shared" ca="1" si="43"/>
        <v>#NAME?</v>
      </c>
      <c r="S105" s="221" t="e">
        <f t="shared" ca="1" si="44"/>
        <v>#NAME?</v>
      </c>
      <c r="T105" s="161">
        <v>-0.67273122215700576</v>
      </c>
      <c r="U105" s="161">
        <v>0.56826491450052385</v>
      </c>
      <c r="V105" s="161">
        <v>0.19795260708498114</v>
      </c>
      <c r="W105" s="161">
        <v>-1.104642654111802</v>
      </c>
      <c r="X105" s="161">
        <v>3.1664871888575581</v>
      </c>
      <c r="Y105" s="161">
        <v>-0.12361787978946502</v>
      </c>
      <c r="Z105" s="161">
        <v>-0.52011404067041955</v>
      </c>
      <c r="AA105" s="161">
        <v>-4.5080149468761392E-5</v>
      </c>
      <c r="AB105" s="154">
        <v>-0.57176991243912323</v>
      </c>
      <c r="AC105" s="154">
        <v>-0.37391669169933345</v>
      </c>
      <c r="AD105" s="161">
        <v>-7.738570893322591E-8</v>
      </c>
      <c r="AE105" s="161">
        <v>-0.15524521987601697</v>
      </c>
      <c r="AF105" s="161">
        <v>-6.5603060765688604E-12</v>
      </c>
      <c r="AG105" s="161">
        <v>-1.9964945346375264E-11</v>
      </c>
      <c r="AK105" s="241"/>
      <c r="AL105" s="241"/>
      <c r="AM105" s="241"/>
      <c r="AN105" s="241"/>
      <c r="AO105" s="241"/>
      <c r="AP105" s="240"/>
      <c r="AQ105" s="240"/>
      <c r="AR105" s="240"/>
      <c r="AS105" s="241"/>
      <c r="AT105" s="241"/>
      <c r="AU105" s="241"/>
      <c r="AV105" s="241"/>
      <c r="AW105" s="241"/>
      <c r="AX105" s="241"/>
      <c r="AY105" s="241"/>
      <c r="BA105" s="240" t="str">
        <f t="shared" si="29"/>
        <v/>
      </c>
      <c r="BB105" s="240" t="str">
        <f t="shared" si="30"/>
        <v/>
      </c>
      <c r="BC105" s="240">
        <f t="shared" si="34"/>
        <v>0</v>
      </c>
      <c r="BD105" s="242">
        <f t="shared" si="38"/>
        <v>2579.1887755101975</v>
      </c>
      <c r="BE105" s="242">
        <f t="shared" si="35"/>
        <v>338890.30612244894</v>
      </c>
      <c r="BF105" s="242">
        <f t="shared" si="36"/>
        <v>32100.694444444442</v>
      </c>
      <c r="BG105" s="243">
        <f t="shared" si="37"/>
        <v>1.2589841705067157</v>
      </c>
      <c r="BK105" s="1"/>
      <c r="BL105" s="1"/>
      <c r="BM105" s="1"/>
      <c r="BN105" s="1"/>
      <c r="BR105" s="1">
        <v>1500.873271981038</v>
      </c>
      <c r="BS105" s="1">
        <v>556.16208138710647</v>
      </c>
      <c r="BT105" s="1"/>
      <c r="CB105" s="160"/>
      <c r="CC105" s="160"/>
      <c r="CD105" s="160"/>
    </row>
    <row r="106" spans="2:82" x14ac:dyDescent="0.2">
      <c r="B106" s="275" t="s">
        <v>302</v>
      </c>
      <c r="C106" s="209">
        <f t="shared" si="45"/>
        <v>2055</v>
      </c>
      <c r="D106" s="284">
        <f t="shared" si="47"/>
        <v>2000</v>
      </c>
      <c r="E106" s="86">
        <v>0</v>
      </c>
      <c r="F106" s="286">
        <f t="shared" si="46"/>
        <v>10000000000</v>
      </c>
      <c r="G106" s="87"/>
      <c r="H106" s="138" t="e">
        <f t="shared" ca="1" si="39"/>
        <v>#NAME?</v>
      </c>
      <c r="I106" s="139">
        <v>0.01</v>
      </c>
      <c r="J106" s="166" t="e">
        <f t="shared" ca="1" si="26"/>
        <v>#NAME?</v>
      </c>
      <c r="K106" s="167" t="e">
        <f t="shared" ca="1" si="40"/>
        <v>#NAME?</v>
      </c>
      <c r="L106" s="160">
        <v>0.59905761329768825</v>
      </c>
      <c r="M106" s="167">
        <f t="shared" si="27"/>
        <v>0</v>
      </c>
      <c r="N106" s="167" t="e">
        <f t="shared" ca="1" si="41"/>
        <v>#NAME?</v>
      </c>
      <c r="O106" s="164" t="e">
        <f t="shared" ca="1" si="42"/>
        <v>#NAME?</v>
      </c>
      <c r="P106" s="221" t="e">
        <f t="shared" ca="1" si="32"/>
        <v>#NAME?</v>
      </c>
      <c r="Q106" s="221" t="e">
        <f t="shared" ca="1" si="33"/>
        <v>#NAME?</v>
      </c>
      <c r="R106" s="221" t="e">
        <f t="shared" ca="1" si="43"/>
        <v>#NAME?</v>
      </c>
      <c r="S106" s="221" t="e">
        <f t="shared" ca="1" si="44"/>
        <v>#NAME?</v>
      </c>
      <c r="T106" s="161">
        <v>-1.3389036178809739</v>
      </c>
      <c r="U106" s="161">
        <v>0.76128669464058096</v>
      </c>
      <c r="V106" s="161">
        <v>1.1904020063823988</v>
      </c>
      <c r="W106" s="161">
        <v>-1.4821809623964142</v>
      </c>
      <c r="X106" s="161">
        <v>3.6447028028595145</v>
      </c>
      <c r="Y106" s="161">
        <v>-0.13461180123531208</v>
      </c>
      <c r="Z106" s="161">
        <v>-0.51992073153695539</v>
      </c>
      <c r="AA106" s="161">
        <v>-1.4087240841663947E-5</v>
      </c>
      <c r="AB106" s="154">
        <v>-0.59835800012608253</v>
      </c>
      <c r="AC106" s="154">
        <v>-0.37391669169933339</v>
      </c>
      <c r="AD106" s="161">
        <v>-1.7598925194445082E-8</v>
      </c>
      <c r="AE106" s="161">
        <v>-0.15366417592875517</v>
      </c>
      <c r="AF106" s="161">
        <v>-3.6478811620619128E-12</v>
      </c>
      <c r="AG106" s="161">
        <v>-6.1459815478329768E-10</v>
      </c>
      <c r="AK106" s="241"/>
      <c r="AL106" s="241"/>
      <c r="AM106" s="241"/>
      <c r="AN106" s="241"/>
      <c r="AO106" s="241"/>
      <c r="AP106" s="240"/>
      <c r="AQ106" s="240"/>
      <c r="AR106" s="240"/>
      <c r="AS106" s="241"/>
      <c r="AT106" s="241"/>
      <c r="AU106" s="241"/>
      <c r="AV106" s="241"/>
      <c r="AW106" s="241"/>
      <c r="AX106" s="241"/>
      <c r="AY106" s="241"/>
      <c r="BA106" s="240" t="str">
        <f t="shared" si="29"/>
        <v/>
      </c>
      <c r="BB106" s="240" t="str">
        <f t="shared" si="30"/>
        <v/>
      </c>
      <c r="BC106" s="240">
        <f t="shared" si="34"/>
        <v>0</v>
      </c>
      <c r="BD106" s="242">
        <f t="shared" si="38"/>
        <v>3112.0459183673397</v>
      </c>
      <c r="BE106" s="242">
        <f t="shared" si="35"/>
        <v>338890.30612244894</v>
      </c>
      <c r="BF106" s="242">
        <f t="shared" si="36"/>
        <v>32100.694444444442</v>
      </c>
      <c r="BG106" s="243">
        <f t="shared" si="37"/>
        <v>1.3019611648568186</v>
      </c>
      <c r="BK106" s="1"/>
      <c r="BL106" s="1"/>
      <c r="BM106" s="1"/>
      <c r="BN106" s="1"/>
      <c r="BR106" s="1">
        <v>874.93677643796855</v>
      </c>
      <c r="BS106" s="1">
        <v>988.89639668920165</v>
      </c>
      <c r="BT106" s="1"/>
      <c r="CB106" s="160"/>
      <c r="CC106" s="160"/>
      <c r="CD106" s="160"/>
    </row>
    <row r="107" spans="2:82" x14ac:dyDescent="0.2">
      <c r="B107" s="275" t="s">
        <v>302</v>
      </c>
      <c r="C107" s="209">
        <f t="shared" si="45"/>
        <v>2060</v>
      </c>
      <c r="D107" s="284">
        <f t="shared" si="47"/>
        <v>2000</v>
      </c>
      <c r="E107" s="86">
        <v>0</v>
      </c>
      <c r="F107" s="286">
        <f t="shared" si="46"/>
        <v>10000000000</v>
      </c>
      <c r="G107" s="87"/>
      <c r="H107" s="138" t="e">
        <f t="shared" ca="1" si="39"/>
        <v>#NAME?</v>
      </c>
      <c r="I107" s="139">
        <v>0.01</v>
      </c>
      <c r="J107" s="166" t="e">
        <f t="shared" ca="1" si="26"/>
        <v>#NAME?</v>
      </c>
      <c r="K107" s="167" t="e">
        <f t="shared" ca="1" si="40"/>
        <v>#NAME?</v>
      </c>
      <c r="L107" s="160">
        <v>1.1763969593809653</v>
      </c>
      <c r="M107" s="167">
        <f t="shared" si="27"/>
        <v>0</v>
      </c>
      <c r="N107" s="167" t="e">
        <f t="shared" ca="1" si="41"/>
        <v>#NAME?</v>
      </c>
      <c r="O107" s="164" t="e">
        <f t="shared" ca="1" si="42"/>
        <v>#NAME?</v>
      </c>
      <c r="P107" s="221" t="e">
        <f t="shared" ca="1" si="32"/>
        <v>#NAME?</v>
      </c>
      <c r="Q107" s="221" t="e">
        <f t="shared" ca="1" si="33"/>
        <v>#NAME?</v>
      </c>
      <c r="R107" s="221" t="e">
        <f t="shared" ca="1" si="43"/>
        <v>#NAME?</v>
      </c>
      <c r="S107" s="221" t="e">
        <f t="shared" ca="1" si="44"/>
        <v>#NAME?</v>
      </c>
      <c r="T107" s="161">
        <v>-2.1624051626115164</v>
      </c>
      <c r="U107" s="161">
        <v>0.98489217217619274</v>
      </c>
      <c r="V107" s="161">
        <v>2.9165764832974501</v>
      </c>
      <c r="W107" s="161">
        <v>-1.9746399632012765</v>
      </c>
      <c r="X107" s="161">
        <v>4.287744168090577</v>
      </c>
      <c r="Y107" s="161">
        <v>-0.12867732815144339</v>
      </c>
      <c r="Z107" s="161">
        <v>-0.51966272934589619</v>
      </c>
      <c r="AA107" s="161">
        <v>-4.2887180392805382E-6</v>
      </c>
      <c r="AB107" s="154">
        <v>-0.63401309815707918</v>
      </c>
      <c r="AC107" s="154">
        <v>-0.37391669169933345</v>
      </c>
      <c r="AD107" s="161">
        <v>-4.3443399759478699E-9</v>
      </c>
      <c r="AE107" s="161">
        <v>-0.15155687777379856</v>
      </c>
      <c r="AF107" s="161">
        <v>-1.3564594299146855E-12</v>
      </c>
      <c r="AG107" s="161">
        <v>1.0157711255976956E-7</v>
      </c>
      <c r="AK107" s="241"/>
      <c r="AL107" s="241"/>
      <c r="AM107" s="241"/>
      <c r="AN107" s="241"/>
      <c r="AO107" s="241"/>
      <c r="AP107" s="240"/>
      <c r="AQ107" s="240"/>
      <c r="AR107" s="240"/>
      <c r="AS107" s="241"/>
      <c r="AT107" s="241"/>
      <c r="AU107" s="241"/>
      <c r="AV107" s="241"/>
      <c r="AW107" s="241"/>
      <c r="AX107" s="241"/>
      <c r="AY107" s="241"/>
      <c r="BA107" s="240" t="str">
        <f t="shared" si="29"/>
        <v/>
      </c>
      <c r="BB107" s="240" t="str">
        <f t="shared" si="30"/>
        <v/>
      </c>
      <c r="BC107" s="240">
        <f t="shared" si="34"/>
        <v>0</v>
      </c>
      <c r="BD107" s="242">
        <f t="shared" si="38"/>
        <v>3694.9030612244819</v>
      </c>
      <c r="BE107" s="242">
        <f t="shared" si="35"/>
        <v>338890.30612244894</v>
      </c>
      <c r="BF107" s="242">
        <f t="shared" si="36"/>
        <v>32100.694444444442</v>
      </c>
      <c r="BG107" s="243">
        <f t="shared" si="37"/>
        <v>1.3474019877090158</v>
      </c>
      <c r="BK107" s="1"/>
      <c r="BL107" s="1"/>
      <c r="BM107" s="1"/>
      <c r="BN107" s="1"/>
      <c r="BT107" s="1"/>
      <c r="CB107" s="160"/>
      <c r="CC107" s="160"/>
      <c r="CD107" s="160"/>
    </row>
    <row r="108" spans="2:82" x14ac:dyDescent="0.2">
      <c r="B108" s="275" t="s">
        <v>302</v>
      </c>
      <c r="C108" s="209">
        <f t="shared" si="45"/>
        <v>2065</v>
      </c>
      <c r="D108" s="284">
        <f t="shared" si="47"/>
        <v>2000</v>
      </c>
      <c r="E108" s="86">
        <v>0</v>
      </c>
      <c r="F108" s="286">
        <f t="shared" si="46"/>
        <v>10000000000</v>
      </c>
      <c r="G108" s="87"/>
      <c r="H108" s="138" t="e">
        <f t="shared" ca="1" si="39"/>
        <v>#NAME?</v>
      </c>
      <c r="I108" s="139">
        <v>0.01</v>
      </c>
      <c r="J108" s="166" t="e">
        <f t="shared" ca="1" si="26"/>
        <v>#NAME?</v>
      </c>
      <c r="K108" s="167" t="e">
        <f t="shared" ca="1" si="40"/>
        <v>#NAME?</v>
      </c>
      <c r="L108" s="160">
        <v>2.5174439378350919</v>
      </c>
      <c r="M108" s="167">
        <f t="shared" si="27"/>
        <v>0</v>
      </c>
      <c r="N108" s="167" t="e">
        <f t="shared" ca="1" si="41"/>
        <v>#NAME?</v>
      </c>
      <c r="O108" s="164" t="e">
        <f t="shared" ca="1" si="42"/>
        <v>#NAME?</v>
      </c>
      <c r="P108" s="221" t="e">
        <f t="shared" ca="1" si="32"/>
        <v>#NAME?</v>
      </c>
      <c r="Q108" s="221" t="e">
        <f t="shared" ca="1" si="33"/>
        <v>#NAME?</v>
      </c>
      <c r="R108" s="221" t="e">
        <f t="shared" ca="1" si="43"/>
        <v>#NAME?</v>
      </c>
      <c r="S108" s="221" t="e">
        <f t="shared" ca="1" si="44"/>
        <v>#NAME?</v>
      </c>
      <c r="T108" s="161">
        <v>-3.1947450747529018</v>
      </c>
      <c r="U108" s="161">
        <v>1.247742804128178</v>
      </c>
      <c r="V108" s="161">
        <v>5.6529137247243328</v>
      </c>
      <c r="W108" s="161">
        <v>-2.6287364394295336</v>
      </c>
      <c r="X108" s="161">
        <v>5.172773921430692</v>
      </c>
      <c r="Y108" s="161">
        <v>-8.6435978131867278E-2</v>
      </c>
      <c r="Z108" s="161">
        <v>-0.5193116442782737</v>
      </c>
      <c r="AA108" s="161">
        <v>-1.2883957818822431E-6</v>
      </c>
      <c r="AB108" s="154">
        <v>-0.68299788157065311</v>
      </c>
      <c r="AC108" s="154">
        <v>-0.37391669169933339</v>
      </c>
      <c r="AD108" s="161">
        <v>-1.1992205091497176E-9</v>
      </c>
      <c r="AE108" s="161">
        <v>-0.14869474417614059</v>
      </c>
      <c r="AF108" s="161">
        <v>-1.7996880119779166E-13</v>
      </c>
      <c r="AG108" s="161">
        <v>-3.1291319398519887E-6</v>
      </c>
      <c r="AK108" s="241"/>
      <c r="AL108" s="241"/>
      <c r="AM108" s="241"/>
      <c r="AN108" s="241"/>
      <c r="AO108" s="241"/>
      <c r="AP108" s="240"/>
      <c r="AQ108" s="240"/>
      <c r="AR108" s="240"/>
      <c r="AS108" s="241"/>
      <c r="AT108" s="241"/>
      <c r="AU108" s="241"/>
      <c r="AV108" s="241"/>
      <c r="AW108" s="241"/>
      <c r="AX108" s="241"/>
      <c r="AY108" s="241"/>
      <c r="BA108" s="240" t="str">
        <f t="shared" si="29"/>
        <v/>
      </c>
      <c r="BB108" s="240" t="str">
        <f t="shared" si="30"/>
        <v/>
      </c>
      <c r="BC108" s="240">
        <f t="shared" si="34"/>
        <v>0</v>
      </c>
      <c r="BD108" s="242">
        <f t="shared" si="38"/>
        <v>4327.7602040816237</v>
      </c>
      <c r="BE108" s="242">
        <f t="shared" si="35"/>
        <v>338890.30612244894</v>
      </c>
      <c r="BF108" s="242">
        <f t="shared" si="36"/>
        <v>32100.694444444442</v>
      </c>
      <c r="BG108" s="243">
        <f t="shared" si="37"/>
        <v>1.3950659004674766</v>
      </c>
      <c r="BK108" s="1"/>
      <c r="BL108" s="1"/>
      <c r="BM108" s="1"/>
      <c r="BN108" s="1"/>
      <c r="BT108" s="1"/>
      <c r="CB108" s="160"/>
      <c r="CC108" s="160"/>
      <c r="CD108" s="160"/>
    </row>
    <row r="109" spans="2:82" x14ac:dyDescent="0.2">
      <c r="B109" s="275" t="s">
        <v>302</v>
      </c>
      <c r="C109" s="209">
        <f t="shared" si="45"/>
        <v>2070</v>
      </c>
      <c r="D109" s="284">
        <f t="shared" si="47"/>
        <v>2000</v>
      </c>
      <c r="E109" s="284">
        <v>0</v>
      </c>
      <c r="F109" s="286">
        <f t="shared" si="46"/>
        <v>10000000000</v>
      </c>
      <c r="G109" s="283"/>
      <c r="H109" s="138" t="e">
        <f t="shared" ref="H109:H115" ca="1" si="48">MAX(I109/10,Cnapl($AJ$2,$AJ$3,$AJ$4,$AJ$5,$AJ$6,$AJ$7,$AJ$8,$AJ$9,$AJ$10,$AJ$11,$AJ$12,$AJ$13,$AJ$14,$AJ$15,$AJ$16,$AJ$17,$AJ$18,$AJ$19,$AJ$20,$AJ$21, D109*COS($AJ$23)-E109*SIN($AJ$23), D109*SIN($AJ$23)+E109*COS($AJ$23), C109,0))</f>
        <v>#NAME?</v>
      </c>
      <c r="I109" s="139">
        <v>0.01</v>
      </c>
      <c r="J109" s="166" t="e">
        <f t="shared" ref="J109:J115" ca="1" si="49">IF(J$8="yes",(LN(MAX(I109,H109))-LN(MAX(I109,G109)))^2,(MAX(I109,H110)-MAX(I109,G110))^2)/F109/F109</f>
        <v>#NAME?</v>
      </c>
      <c r="K109" s="167" t="e">
        <f t="shared" ref="K109:K115" ca="1" si="50">IF(D109="","",IF(J$8="yes",LN(H109),H109))</f>
        <v>#NAME?</v>
      </c>
      <c r="L109" s="160">
        <v>5.4386632280052254</v>
      </c>
      <c r="M109" s="167">
        <f t="shared" ref="M109:M115" si="51">IF(F109&lt;9990,J109*F109*F109,0)</f>
        <v>0</v>
      </c>
      <c r="N109" s="167" t="e">
        <f t="shared" ref="N109:N115" ca="1" si="52">IF(H109&lt;I109,0,IF(J$8="yes",SQRT(AY109),SQRT(H109*(EXP(AY109)-1))))</f>
        <v>#NAME?</v>
      </c>
      <c r="O109" s="164" t="e">
        <f t="shared" ref="O109:O115" ca="1" si="53">SQRT(L109)+N109+BG109*J$21</f>
        <v>#NAME?</v>
      </c>
      <c r="P109" s="221" t="e">
        <f t="shared" ca="1" si="32"/>
        <v>#NAME?</v>
      </c>
      <c r="Q109" s="221" t="e">
        <f t="shared" ca="1" si="33"/>
        <v>#NAME?</v>
      </c>
      <c r="R109" s="221" t="e">
        <f t="shared" ref="R109:R115" ca="1" si="54">Q109-H109</f>
        <v>#NAME?</v>
      </c>
      <c r="S109" s="221" t="e">
        <f t="shared" ref="S109:S115" ca="1" si="55">H109-P109</f>
        <v>#NAME?</v>
      </c>
      <c r="T109" s="161">
        <v>-4.4968238382844126</v>
      </c>
      <c r="U109" s="161">
        <v>1.5602550514993132</v>
      </c>
      <c r="V109" s="161">
        <v>9.7320373879086652</v>
      </c>
      <c r="W109" s="161">
        <v>-3.5019079462581044</v>
      </c>
      <c r="X109" s="161">
        <v>6.3980113234582259</v>
      </c>
      <c r="Y109" s="161">
        <v>2.0011815103701175E-2</v>
      </c>
      <c r="Z109" s="161">
        <v>-0.51883456617984769</v>
      </c>
      <c r="AA109" s="161">
        <v>-3.9900608586680715E-7</v>
      </c>
      <c r="AB109" s="154">
        <v>-0.75109071957663875</v>
      </c>
      <c r="AC109" s="154">
        <v>-0.37391669169933339</v>
      </c>
      <c r="AD109" s="161">
        <v>-3.8326572783894672E-10</v>
      </c>
      <c r="AE109" s="161">
        <v>-0.14481621847934378</v>
      </c>
      <c r="AF109" s="161">
        <v>-1.7996880119779166E-13</v>
      </c>
      <c r="AG109" s="161">
        <v>-3.1291319398519887E-6</v>
      </c>
      <c r="AK109" s="241"/>
      <c r="AL109" s="241"/>
      <c r="AM109" s="241"/>
      <c r="AN109" s="241"/>
      <c r="AO109" s="241"/>
      <c r="AP109" s="240"/>
      <c r="AQ109" s="240"/>
      <c r="AR109" s="240"/>
      <c r="AS109" s="241"/>
      <c r="AT109" s="241"/>
      <c r="AU109" s="241"/>
      <c r="AV109" s="241"/>
      <c r="AW109" s="241"/>
      <c r="AX109" s="241"/>
      <c r="AY109" s="241"/>
      <c r="BA109" s="240" t="str">
        <f t="shared" ref="BA109:BA115" si="56">IF($F109&lt;9990,C109,"")</f>
        <v/>
      </c>
      <c r="BB109" s="240" t="str">
        <f t="shared" ref="BB109:BB115" si="57">IF($F109&lt;9990,D109,"")</f>
        <v/>
      </c>
      <c r="BC109" s="240">
        <f t="shared" ref="BC109:BC115" si="58">IF($F109&gt;0,E109,"")</f>
        <v>0</v>
      </c>
      <c r="BD109" s="242">
        <f t="shared" ref="BD109:BD115" si="59">(C109-BA$49)^2</f>
        <v>5010.6173469387659</v>
      </c>
      <c r="BE109" s="242">
        <f t="shared" ref="BE109:BE115" si="60">(D109-BB$49)^2</f>
        <v>338890.30612244894</v>
      </c>
      <c r="BF109" s="242">
        <f t="shared" ref="BF109:BF115" si="61">(E109-BC$49)^2</f>
        <v>32100.694444444442</v>
      </c>
      <c r="BG109" s="243">
        <f t="shared" ref="BG109:BG115" si="62">IF(C109="","",SQRT(1+1/BG$49+(C109-BA$49)^2/BD$49+(D109-BB$49)^2/BE$49+(E109-BC$49)^2/BF$49))</f>
        <v>1.4447328906376073</v>
      </c>
      <c r="BK109" s="1"/>
      <c r="BL109" s="1"/>
      <c r="BM109" s="1"/>
      <c r="BN109" s="1"/>
      <c r="BT109" s="1"/>
      <c r="CB109" s="160"/>
      <c r="CC109" s="160"/>
      <c r="CD109" s="160"/>
    </row>
    <row r="110" spans="2:82" x14ac:dyDescent="0.2">
      <c r="B110" s="275" t="s">
        <v>302</v>
      </c>
      <c r="C110" s="209">
        <f t="shared" si="45"/>
        <v>2075</v>
      </c>
      <c r="D110" s="284">
        <f t="shared" si="47"/>
        <v>2000</v>
      </c>
      <c r="E110" s="284">
        <v>0</v>
      </c>
      <c r="F110" s="286">
        <f t="shared" si="46"/>
        <v>10000000000</v>
      </c>
      <c r="G110" s="283"/>
      <c r="H110" s="138" t="e">
        <f t="shared" ca="1" si="48"/>
        <v>#NAME?</v>
      </c>
      <c r="I110" s="139">
        <v>0.01</v>
      </c>
      <c r="J110" s="166" t="e">
        <f t="shared" ca="1" si="49"/>
        <v>#NAME?</v>
      </c>
      <c r="K110" s="167" t="e">
        <f t="shared" ca="1" si="50"/>
        <v>#NAME?</v>
      </c>
      <c r="L110" s="160">
        <v>11.302717347090134</v>
      </c>
      <c r="M110" s="167">
        <f t="shared" si="51"/>
        <v>0</v>
      </c>
      <c r="N110" s="167" t="e">
        <f t="shared" ca="1" si="52"/>
        <v>#NAME?</v>
      </c>
      <c r="O110" s="164" t="e">
        <f t="shared" ca="1" si="53"/>
        <v>#NAME?</v>
      </c>
      <c r="P110" s="221" t="e">
        <f t="shared" ca="1" si="32"/>
        <v>#NAME?</v>
      </c>
      <c r="Q110" s="221" t="e">
        <f t="shared" ca="1" si="33"/>
        <v>#NAME?</v>
      </c>
      <c r="R110" s="221" t="e">
        <f t="shared" ca="1" si="54"/>
        <v>#NAME?</v>
      </c>
      <c r="S110" s="221" t="e">
        <f t="shared" ca="1" si="55"/>
        <v>#NAME?</v>
      </c>
      <c r="T110" s="161">
        <v>-6.1163985970744763</v>
      </c>
      <c r="U110" s="161">
        <v>1.9317469530104219</v>
      </c>
      <c r="V110" s="161">
        <v>15.426611428668235</v>
      </c>
      <c r="W110" s="161">
        <v>-4.6379333335797837</v>
      </c>
      <c r="X110" s="161">
        <v>8.0336364986068478</v>
      </c>
      <c r="Y110" s="161">
        <v>0.21678419823238909</v>
      </c>
      <c r="Z110" s="161">
        <v>-0.5182178900301192</v>
      </c>
      <c r="AA110" s="161">
        <v>-1.3246882944578278E-7</v>
      </c>
      <c r="AB110" s="154">
        <v>-0.84391532665544167</v>
      </c>
      <c r="AC110" s="154">
        <v>-0.37391669169933339</v>
      </c>
      <c r="AD110" s="161">
        <v>2.8118399461444285E-9</v>
      </c>
      <c r="AE110" s="161">
        <v>-0.13982271197619772</v>
      </c>
      <c r="AF110" s="161">
        <v>-1.7996880119779166E-13</v>
      </c>
      <c r="AG110" s="161">
        <v>-3.1291319398519887E-6</v>
      </c>
      <c r="AK110" s="241"/>
      <c r="AL110" s="241"/>
      <c r="AM110" s="241"/>
      <c r="AN110" s="241"/>
      <c r="AO110" s="241"/>
      <c r="AP110" s="240"/>
      <c r="AQ110" s="240"/>
      <c r="AR110" s="240"/>
      <c r="AS110" s="241"/>
      <c r="AT110" s="241"/>
      <c r="AU110" s="241"/>
      <c r="AV110" s="241"/>
      <c r="AW110" s="241"/>
      <c r="AX110" s="241"/>
      <c r="AY110" s="241"/>
      <c r="BA110" s="240" t="str">
        <f t="shared" si="56"/>
        <v/>
      </c>
      <c r="BB110" s="240" t="str">
        <f t="shared" si="57"/>
        <v/>
      </c>
      <c r="BC110" s="240">
        <f t="shared" si="58"/>
        <v>0</v>
      </c>
      <c r="BD110" s="242">
        <f t="shared" si="59"/>
        <v>5743.4744897959081</v>
      </c>
      <c r="BE110" s="242">
        <f t="shared" si="60"/>
        <v>338890.30612244894</v>
      </c>
      <c r="BF110" s="242">
        <f t="shared" si="61"/>
        <v>32100.694444444442</v>
      </c>
      <c r="BG110" s="243">
        <f t="shared" si="62"/>
        <v>1.4962034929818551</v>
      </c>
      <c r="BK110" s="1"/>
      <c r="BL110" s="1"/>
      <c r="BM110" s="1"/>
      <c r="BN110" s="1"/>
      <c r="BT110" s="1"/>
      <c r="CB110" s="160"/>
      <c r="CC110" s="160"/>
      <c r="CD110" s="160"/>
    </row>
    <row r="111" spans="2:82" x14ac:dyDescent="0.2">
      <c r="B111" s="275" t="s">
        <v>302</v>
      </c>
      <c r="C111" s="209">
        <f t="shared" si="45"/>
        <v>2080</v>
      </c>
      <c r="D111" s="284">
        <f t="shared" si="47"/>
        <v>2000</v>
      </c>
      <c r="E111" s="284">
        <v>0</v>
      </c>
      <c r="F111" s="286">
        <f t="shared" si="46"/>
        <v>10000000000</v>
      </c>
      <c r="G111" s="283"/>
      <c r="H111" s="138" t="e">
        <f t="shared" ca="1" si="48"/>
        <v>#NAME?</v>
      </c>
      <c r="I111" s="139">
        <v>0.01</v>
      </c>
      <c r="J111" s="166" t="e">
        <f t="shared" ca="1" si="49"/>
        <v>#NAME?</v>
      </c>
      <c r="K111" s="167" t="e">
        <f t="shared" ca="1" si="50"/>
        <v>#NAME?</v>
      </c>
      <c r="L111" s="160">
        <v>21.802750189675002</v>
      </c>
      <c r="M111" s="167">
        <f t="shared" si="51"/>
        <v>0</v>
      </c>
      <c r="N111" s="167" t="e">
        <f t="shared" ca="1" si="52"/>
        <v>#NAME?</v>
      </c>
      <c r="O111" s="164" t="e">
        <f t="shared" ca="1" si="53"/>
        <v>#NAME?</v>
      </c>
      <c r="P111" s="221" t="e">
        <f t="shared" ca="1" si="32"/>
        <v>#NAME?</v>
      </c>
      <c r="Q111" s="221" t="e">
        <f t="shared" ca="1" si="33"/>
        <v>#NAME?</v>
      </c>
      <c r="R111" s="221" t="e">
        <f t="shared" ca="1" si="54"/>
        <v>#NAME?</v>
      </c>
      <c r="S111" s="221" t="e">
        <f t="shared" ca="1" si="55"/>
        <v>#NAME?</v>
      </c>
      <c r="T111" s="161">
        <v>-8.0438827757957707</v>
      </c>
      <c r="U111" s="161">
        <v>2.364743768651604</v>
      </c>
      <c r="V111" s="161">
        <v>22.72024633574804</v>
      </c>
      <c r="W111" s="161">
        <v>-6.021994042152004</v>
      </c>
      <c r="X111" s="161">
        <v>10.038677625722741</v>
      </c>
      <c r="Y111" s="161">
        <v>0.51457297121850776</v>
      </c>
      <c r="Z111" s="161">
        <v>-0.51750084131291041</v>
      </c>
      <c r="AA111" s="161">
        <v>-1.3277681644454313E-7</v>
      </c>
      <c r="AB111" s="154">
        <v>-0.96296129901976235</v>
      </c>
      <c r="AC111" s="154">
        <v>-0.37391669169933339</v>
      </c>
      <c r="AD111" s="161">
        <v>4.6125173217759085E-8</v>
      </c>
      <c r="AE111" s="161">
        <v>-0.13404562308160856</v>
      </c>
      <c r="AF111" s="161">
        <v>-1.7996880119779166E-13</v>
      </c>
      <c r="AG111" s="161">
        <v>-3.1291319398519887E-6</v>
      </c>
      <c r="AK111" s="241"/>
      <c r="AL111" s="241"/>
      <c r="AM111" s="241"/>
      <c r="AN111" s="241"/>
      <c r="AO111" s="241"/>
      <c r="AP111" s="240"/>
      <c r="AQ111" s="240"/>
      <c r="AR111" s="240"/>
      <c r="AS111" s="241"/>
      <c r="AT111" s="241"/>
      <c r="AU111" s="241"/>
      <c r="AV111" s="241"/>
      <c r="AW111" s="241"/>
      <c r="AX111" s="241"/>
      <c r="AY111" s="241"/>
      <c r="BA111" s="240" t="str">
        <f t="shared" si="56"/>
        <v/>
      </c>
      <c r="BB111" s="240" t="str">
        <f t="shared" si="57"/>
        <v/>
      </c>
      <c r="BC111" s="240">
        <f t="shared" si="58"/>
        <v>0</v>
      </c>
      <c r="BD111" s="242">
        <f t="shared" si="59"/>
        <v>6526.3316326530503</v>
      </c>
      <c r="BE111" s="242">
        <f t="shared" si="60"/>
        <v>338890.30612244894</v>
      </c>
      <c r="BF111" s="242">
        <f t="shared" si="61"/>
        <v>32100.694444444442</v>
      </c>
      <c r="BG111" s="243">
        <f t="shared" si="62"/>
        <v>1.5492979597256793</v>
      </c>
      <c r="BK111" s="1"/>
      <c r="BL111" s="1"/>
      <c r="BM111" s="1"/>
      <c r="BN111" s="1"/>
      <c r="BT111" s="1"/>
      <c r="CB111" s="160"/>
      <c r="CC111" s="160"/>
      <c r="CD111" s="160"/>
    </row>
    <row r="112" spans="2:82" x14ac:dyDescent="0.2">
      <c r="B112" s="275" t="s">
        <v>302</v>
      </c>
      <c r="C112" s="209">
        <f t="shared" si="45"/>
        <v>2085</v>
      </c>
      <c r="D112" s="284">
        <f t="shared" si="47"/>
        <v>2000</v>
      </c>
      <c r="E112" s="284">
        <v>0</v>
      </c>
      <c r="F112" s="286">
        <f t="shared" si="46"/>
        <v>10000000000</v>
      </c>
      <c r="G112" s="283"/>
      <c r="H112" s="138" t="e">
        <f t="shared" ca="1" si="48"/>
        <v>#NAME?</v>
      </c>
      <c r="I112" s="139">
        <v>0.01</v>
      </c>
      <c r="J112" s="166" t="e">
        <f t="shared" ca="1" si="49"/>
        <v>#NAME?</v>
      </c>
      <c r="K112" s="167" t="e">
        <f t="shared" ca="1" si="50"/>
        <v>#NAME?</v>
      </c>
      <c r="L112" s="160">
        <v>38.261161879982517</v>
      </c>
      <c r="M112" s="167">
        <f t="shared" si="51"/>
        <v>0</v>
      </c>
      <c r="N112" s="167" t="e">
        <f t="shared" ca="1" si="52"/>
        <v>#NAME?</v>
      </c>
      <c r="O112" s="164" t="e">
        <f t="shared" ca="1" si="53"/>
        <v>#NAME?</v>
      </c>
      <c r="P112" s="221" t="e">
        <f t="shared" ca="1" si="32"/>
        <v>#NAME?</v>
      </c>
      <c r="Q112" s="221" t="e">
        <f t="shared" ca="1" si="33"/>
        <v>#NAME?</v>
      </c>
      <c r="R112" s="221" t="e">
        <f t="shared" ca="1" si="54"/>
        <v>#NAME?</v>
      </c>
      <c r="S112" s="221" t="e">
        <f t="shared" ca="1" si="55"/>
        <v>#NAME?</v>
      </c>
      <c r="T112" s="161">
        <v>-10.19378990047478</v>
      </c>
      <c r="U112" s="161">
        <v>2.8528504155220942</v>
      </c>
      <c r="V112" s="161">
        <v>31.220159621940773</v>
      </c>
      <c r="W112" s="161">
        <v>-7.5789298475778342</v>
      </c>
      <c r="X112" s="161">
        <v>12.282487777070539</v>
      </c>
      <c r="Y112" s="161">
        <v>0.90556986875817125</v>
      </c>
      <c r="Z112" s="161">
        <v>-0.51675541945040104</v>
      </c>
      <c r="AA112" s="161">
        <v>-5.4241810611833639E-8</v>
      </c>
      <c r="AB112" s="154">
        <v>-1.1042417875131489</v>
      </c>
      <c r="AC112" s="154">
        <v>-0.3739166916993335</v>
      </c>
      <c r="AD112" s="161">
        <v>1.1065358140767738E-6</v>
      </c>
      <c r="AE112" s="161">
        <v>-0.12807148387711756</v>
      </c>
      <c r="AF112" s="161">
        <v>-1.7996880119779166E-13</v>
      </c>
      <c r="AG112" s="161">
        <v>-3.1291319398519887E-6</v>
      </c>
      <c r="AK112" s="241"/>
      <c r="AL112" s="241"/>
      <c r="AM112" s="241"/>
      <c r="AN112" s="241"/>
      <c r="AO112" s="241"/>
      <c r="AP112" s="240"/>
      <c r="AQ112" s="240"/>
      <c r="AR112" s="240"/>
      <c r="AS112" s="241"/>
      <c r="AT112" s="241"/>
      <c r="AU112" s="241"/>
      <c r="AV112" s="241"/>
      <c r="AW112" s="241"/>
      <c r="AX112" s="241"/>
      <c r="AY112" s="241"/>
      <c r="BA112" s="240" t="str">
        <f t="shared" si="56"/>
        <v/>
      </c>
      <c r="BB112" s="240" t="str">
        <f t="shared" si="57"/>
        <v/>
      </c>
      <c r="BC112" s="240">
        <f t="shared" si="58"/>
        <v>0</v>
      </c>
      <c r="BD112" s="242">
        <f t="shared" si="59"/>
        <v>7359.1887755101925</v>
      </c>
      <c r="BE112" s="242">
        <f t="shared" si="60"/>
        <v>338890.30612244894</v>
      </c>
      <c r="BF112" s="242">
        <f t="shared" si="61"/>
        <v>32100.694444444442</v>
      </c>
      <c r="BG112" s="243">
        <f t="shared" si="62"/>
        <v>1.6038550283885518</v>
      </c>
      <c r="BK112" s="1"/>
      <c r="BL112" s="1"/>
      <c r="BM112" s="1"/>
      <c r="BN112" s="1"/>
      <c r="BT112" s="1"/>
      <c r="CB112" s="160"/>
      <c r="CC112" s="160"/>
      <c r="CD112" s="160"/>
    </row>
    <row r="113" spans="2:82" x14ac:dyDescent="0.2">
      <c r="B113" s="275" t="s">
        <v>302</v>
      </c>
      <c r="C113" s="209">
        <f t="shared" si="45"/>
        <v>2090</v>
      </c>
      <c r="D113" s="284">
        <f t="shared" si="47"/>
        <v>2000</v>
      </c>
      <c r="E113" s="284">
        <v>0</v>
      </c>
      <c r="F113" s="286">
        <f t="shared" si="46"/>
        <v>10000000000</v>
      </c>
      <c r="G113" s="283"/>
      <c r="H113" s="138" t="e">
        <f t="shared" ca="1" si="48"/>
        <v>#NAME?</v>
      </c>
      <c r="I113" s="139">
        <v>0.01</v>
      </c>
      <c r="J113" s="166" t="e">
        <f t="shared" ca="1" si="49"/>
        <v>#NAME?</v>
      </c>
      <c r="K113" s="167" t="e">
        <f t="shared" ca="1" si="50"/>
        <v>#NAME?</v>
      </c>
      <c r="L113" s="160">
        <v>38.554274047503817</v>
      </c>
      <c r="M113" s="167">
        <f t="shared" si="51"/>
        <v>0</v>
      </c>
      <c r="N113" s="167" t="e">
        <f t="shared" ca="1" si="52"/>
        <v>#NAME?</v>
      </c>
      <c r="O113" s="164" t="e">
        <f t="shared" ca="1" si="53"/>
        <v>#NAME?</v>
      </c>
      <c r="P113" s="221" t="e">
        <f t="shared" ca="1" si="32"/>
        <v>#NAME?</v>
      </c>
      <c r="Q113" s="221" t="e">
        <f t="shared" ca="1" si="33"/>
        <v>#NAME?</v>
      </c>
      <c r="R113" s="221" t="e">
        <f t="shared" ca="1" si="54"/>
        <v>#NAME?</v>
      </c>
      <c r="S113" s="221" t="e">
        <f t="shared" ca="1" si="55"/>
        <v>#NAME?</v>
      </c>
      <c r="T113" s="161">
        <v>-10.652741490800327</v>
      </c>
      <c r="U113" s="161">
        <v>3.1448346519396453</v>
      </c>
      <c r="V113" s="161">
        <v>30.801473311202585</v>
      </c>
      <c r="W113" s="161">
        <v>-6.4418915926035494</v>
      </c>
      <c r="X113" s="161">
        <v>0</v>
      </c>
      <c r="Y113" s="161">
        <v>0.94825295622197348</v>
      </c>
      <c r="Z113" s="161">
        <v>0</v>
      </c>
      <c r="AA113" s="161">
        <v>0</v>
      </c>
      <c r="AB113" s="154">
        <v>-0.97949566384684206</v>
      </c>
      <c r="AC113" s="154">
        <v>-9.4421942449544799E-2</v>
      </c>
      <c r="AD113" s="161">
        <v>0</v>
      </c>
      <c r="AE113" s="161">
        <v>0</v>
      </c>
      <c r="AF113" s="161">
        <v>-1.7996880119779166E-13</v>
      </c>
      <c r="AG113" s="161">
        <v>-3.1291319398519887E-6</v>
      </c>
      <c r="AK113" s="241"/>
      <c r="AL113" s="241"/>
      <c r="AM113" s="241"/>
      <c r="AN113" s="241"/>
      <c r="AO113" s="241"/>
      <c r="AP113" s="240"/>
      <c r="AQ113" s="240"/>
      <c r="AR113" s="240"/>
      <c r="AS113" s="241"/>
      <c r="AT113" s="241"/>
      <c r="AU113" s="241"/>
      <c r="AV113" s="241"/>
      <c r="AW113" s="241"/>
      <c r="AX113" s="241"/>
      <c r="AY113" s="241"/>
      <c r="BA113" s="240" t="str">
        <f t="shared" si="56"/>
        <v/>
      </c>
      <c r="BB113" s="240" t="str">
        <f t="shared" si="57"/>
        <v/>
      </c>
      <c r="BC113" s="240">
        <f t="shared" si="58"/>
        <v>0</v>
      </c>
      <c r="BD113" s="242">
        <f t="shared" si="59"/>
        <v>8242.0459183673356</v>
      </c>
      <c r="BE113" s="242">
        <f t="shared" si="60"/>
        <v>338890.30612244894</v>
      </c>
      <c r="BF113" s="242">
        <f t="shared" si="61"/>
        <v>32100.694444444442</v>
      </c>
      <c r="BG113" s="243">
        <f t="shared" si="62"/>
        <v>1.6597304734933243</v>
      </c>
      <c r="BK113" s="1"/>
      <c r="BL113" s="1"/>
      <c r="BM113" s="1"/>
      <c r="BN113" s="1"/>
      <c r="BT113" s="1"/>
      <c r="CB113" s="160"/>
      <c r="CC113" s="160"/>
      <c r="CD113" s="160"/>
    </row>
    <row r="114" spans="2:82" x14ac:dyDescent="0.2">
      <c r="B114" s="275" t="s">
        <v>302</v>
      </c>
      <c r="C114" s="209">
        <f t="shared" si="45"/>
        <v>2095</v>
      </c>
      <c r="D114" s="284">
        <f t="shared" si="47"/>
        <v>2000</v>
      </c>
      <c r="E114" s="284">
        <v>0</v>
      </c>
      <c r="F114" s="286">
        <f t="shared" si="46"/>
        <v>10000000000</v>
      </c>
      <c r="G114" s="283"/>
      <c r="H114" s="138" t="e">
        <f t="shared" ca="1" si="48"/>
        <v>#NAME?</v>
      </c>
      <c r="I114" s="139">
        <v>0.01</v>
      </c>
      <c r="J114" s="166" t="e">
        <f t="shared" ca="1" si="49"/>
        <v>#NAME?</v>
      </c>
      <c r="K114" s="167" t="e">
        <f t="shared" ca="1" si="50"/>
        <v>#NAME?</v>
      </c>
      <c r="L114" s="160">
        <v>16.361614923722421</v>
      </c>
      <c r="M114" s="167">
        <f t="shared" si="51"/>
        <v>0</v>
      </c>
      <c r="N114" s="167" t="e">
        <f t="shared" ca="1" si="52"/>
        <v>#NAME?</v>
      </c>
      <c r="O114" s="164" t="e">
        <f t="shared" ca="1" si="53"/>
        <v>#NAME?</v>
      </c>
      <c r="P114" s="221" t="e">
        <f t="shared" ca="1" si="32"/>
        <v>#NAME?</v>
      </c>
      <c r="Q114" s="221" t="e">
        <f t="shared" ca="1" si="33"/>
        <v>#NAME?</v>
      </c>
      <c r="R114" s="221" t="e">
        <f t="shared" ca="1" si="54"/>
        <v>#NAME?</v>
      </c>
      <c r="S114" s="221" t="e">
        <f t="shared" ca="1" si="55"/>
        <v>#NAME?</v>
      </c>
      <c r="T114" s="161">
        <v>-8.6043852413132047</v>
      </c>
      <c r="U114" s="161">
        <v>3.1396103539266376</v>
      </c>
      <c r="V114" s="161">
        <v>17.27378501280937</v>
      </c>
      <c r="W114" s="161">
        <v>-1.5046676139920179</v>
      </c>
      <c r="X114" s="161">
        <v>0</v>
      </c>
      <c r="Y114" s="161">
        <v>0.46529408919389642</v>
      </c>
      <c r="Z114" s="161">
        <v>0</v>
      </c>
      <c r="AA114" s="161">
        <v>0</v>
      </c>
      <c r="AB114" s="154">
        <v>-0.4771583782449812</v>
      </c>
      <c r="AC114" s="154">
        <v>0</v>
      </c>
      <c r="AD114" s="161">
        <v>0</v>
      </c>
      <c r="AE114" s="161">
        <v>0</v>
      </c>
      <c r="AF114" s="161">
        <v>-1.7996880119779166E-13</v>
      </c>
      <c r="AG114" s="161">
        <v>-3.1291319398519887E-6</v>
      </c>
      <c r="AK114" s="241"/>
      <c r="AL114" s="241"/>
      <c r="AM114" s="241"/>
      <c r="AN114" s="241"/>
      <c r="AO114" s="241"/>
      <c r="AP114" s="240"/>
      <c r="AQ114" s="240"/>
      <c r="AR114" s="240"/>
      <c r="AS114" s="241"/>
      <c r="AT114" s="241"/>
      <c r="AU114" s="241"/>
      <c r="AV114" s="241"/>
      <c r="AW114" s="241"/>
      <c r="AX114" s="241"/>
      <c r="AY114" s="241"/>
      <c r="BA114" s="240" t="str">
        <f t="shared" si="56"/>
        <v/>
      </c>
      <c r="BB114" s="240" t="str">
        <f t="shared" si="57"/>
        <v/>
      </c>
      <c r="BC114" s="240">
        <f t="shared" si="58"/>
        <v>0</v>
      </c>
      <c r="BD114" s="242">
        <f t="shared" si="59"/>
        <v>9174.9030612244769</v>
      </c>
      <c r="BE114" s="242">
        <f t="shared" si="60"/>
        <v>338890.30612244894</v>
      </c>
      <c r="BF114" s="242">
        <f t="shared" si="61"/>
        <v>32100.694444444442</v>
      </c>
      <c r="BG114" s="243">
        <f t="shared" si="62"/>
        <v>1.7167955748066066</v>
      </c>
      <c r="BK114" s="1"/>
      <c r="BL114" s="1"/>
      <c r="BM114" s="1"/>
      <c r="BN114" s="1"/>
      <c r="BT114" s="1"/>
      <c r="CB114" s="160"/>
      <c r="CC114" s="160"/>
      <c r="CD114" s="160"/>
    </row>
    <row r="115" spans="2:82" x14ac:dyDescent="0.2">
      <c r="B115" s="275" t="s">
        <v>302</v>
      </c>
      <c r="C115" s="209">
        <f t="shared" si="45"/>
        <v>2100</v>
      </c>
      <c r="D115" s="284">
        <f t="shared" si="47"/>
        <v>2000</v>
      </c>
      <c r="E115" s="284">
        <v>0</v>
      </c>
      <c r="F115" s="286">
        <f t="shared" si="46"/>
        <v>10000000000</v>
      </c>
      <c r="G115" s="283"/>
      <c r="H115" s="138" t="e">
        <f t="shared" ca="1" si="48"/>
        <v>#NAME?</v>
      </c>
      <c r="I115" s="139">
        <v>0.01</v>
      </c>
      <c r="J115" s="166" t="e">
        <f t="shared" ca="1" si="49"/>
        <v>#NAME?</v>
      </c>
      <c r="K115" s="167" t="e">
        <f t="shared" ca="1" si="50"/>
        <v>#NAME?</v>
      </c>
      <c r="L115" s="160">
        <v>3.7500716691060023</v>
      </c>
      <c r="M115" s="167">
        <f t="shared" si="51"/>
        <v>0</v>
      </c>
      <c r="N115" s="167" t="e">
        <f t="shared" ca="1" si="52"/>
        <v>#NAME?</v>
      </c>
      <c r="O115" s="164" t="e">
        <f t="shared" ca="1" si="53"/>
        <v>#NAME?</v>
      </c>
      <c r="P115" s="221" t="e">
        <f t="shared" ca="1" si="32"/>
        <v>#NAME?</v>
      </c>
      <c r="Q115" s="221" t="e">
        <f t="shared" ca="1" si="33"/>
        <v>#NAME?</v>
      </c>
      <c r="R115" s="221" t="e">
        <f t="shared" ca="1" si="54"/>
        <v>#NAME?</v>
      </c>
      <c r="S115" s="221" t="e">
        <f t="shared" ca="1" si="55"/>
        <v>#NAME?</v>
      </c>
      <c r="T115" s="161">
        <v>-6.1732607732899734</v>
      </c>
      <c r="U115" s="161">
        <v>3.1343653224782067</v>
      </c>
      <c r="V115" s="161">
        <v>2.2367794866081234</v>
      </c>
      <c r="W115" s="161">
        <v>0</v>
      </c>
      <c r="X115" s="161">
        <v>0</v>
      </c>
      <c r="Y115" s="161">
        <v>0</v>
      </c>
      <c r="Z115" s="161">
        <v>0</v>
      </c>
      <c r="AA115" s="161">
        <v>0</v>
      </c>
      <c r="AB115" s="154">
        <v>0</v>
      </c>
      <c r="AC115" s="154">
        <v>0</v>
      </c>
      <c r="AD115" s="161">
        <v>0</v>
      </c>
      <c r="AE115" s="161">
        <v>0</v>
      </c>
      <c r="AF115" s="161">
        <v>-1.7996880119779166E-13</v>
      </c>
      <c r="AG115" s="161">
        <v>-3.1291319398519887E-6</v>
      </c>
      <c r="AK115" s="241"/>
      <c r="AL115" s="241"/>
      <c r="AM115" s="241"/>
      <c r="AN115" s="241"/>
      <c r="AO115" s="241"/>
      <c r="AP115" s="240"/>
      <c r="AQ115" s="240"/>
      <c r="AR115" s="240"/>
      <c r="AS115" s="241"/>
      <c r="AT115" s="241"/>
      <c r="AU115" s="241"/>
      <c r="AV115" s="241"/>
      <c r="AW115" s="241"/>
      <c r="AX115" s="241"/>
      <c r="AY115" s="241"/>
      <c r="BA115" s="240" t="str">
        <f t="shared" si="56"/>
        <v/>
      </c>
      <c r="BB115" s="240" t="str">
        <f t="shared" si="57"/>
        <v/>
      </c>
      <c r="BC115" s="240">
        <f t="shared" si="58"/>
        <v>0</v>
      </c>
      <c r="BD115" s="242">
        <f t="shared" si="59"/>
        <v>10157.76020408162</v>
      </c>
      <c r="BE115" s="242">
        <f t="shared" si="60"/>
        <v>338890.30612244894</v>
      </c>
      <c r="BF115" s="242">
        <f t="shared" si="61"/>
        <v>32100.694444444442</v>
      </c>
      <c r="BG115" s="243">
        <f t="shared" si="62"/>
        <v>1.7749355918417888</v>
      </c>
      <c r="BK115" s="1"/>
      <c r="BL115" s="1"/>
      <c r="BM115" s="1"/>
      <c r="BN115" s="1"/>
      <c r="BT115" s="1"/>
      <c r="CB115" s="160"/>
      <c r="CC115" s="160"/>
      <c r="CD115" s="160"/>
    </row>
    <row r="116" spans="2:82" s="302" customFormat="1" x14ac:dyDescent="0.2">
      <c r="B116" s="292"/>
      <c r="C116" s="293"/>
      <c r="D116" s="294"/>
      <c r="E116" s="295"/>
      <c r="F116" s="295"/>
      <c r="G116" s="294"/>
      <c r="H116" s="294"/>
      <c r="I116" s="295"/>
      <c r="J116" s="296"/>
      <c r="K116" s="297"/>
      <c r="L116" s="298"/>
      <c r="M116" s="297"/>
      <c r="N116" s="297"/>
      <c r="O116" s="299"/>
      <c r="P116" s="300"/>
      <c r="Q116" s="300"/>
      <c r="R116" s="300"/>
      <c r="S116" s="300"/>
      <c r="T116" s="301"/>
      <c r="U116" s="301"/>
      <c r="V116" s="301"/>
      <c r="W116" s="301"/>
      <c r="X116" s="301"/>
      <c r="Y116" s="301"/>
      <c r="Z116" s="301"/>
      <c r="AA116" s="301"/>
      <c r="AB116" s="293"/>
      <c r="AC116" s="293"/>
      <c r="AD116" s="301"/>
      <c r="AE116" s="301"/>
      <c r="AF116" s="301"/>
      <c r="AG116" s="301"/>
      <c r="AP116" s="301"/>
      <c r="AQ116" s="301"/>
      <c r="AR116" s="301"/>
      <c r="BA116" s="301"/>
      <c r="BB116" s="301"/>
      <c r="BC116" s="301"/>
      <c r="BD116" s="303"/>
      <c r="BE116" s="303"/>
      <c r="BF116" s="303"/>
      <c r="BG116" s="299"/>
      <c r="BK116" s="301"/>
      <c r="BL116" s="301"/>
      <c r="BM116" s="301"/>
      <c r="BN116" s="301"/>
      <c r="BO116" s="301"/>
      <c r="BP116" s="301"/>
      <c r="BQ116" s="301"/>
      <c r="BR116" s="301"/>
      <c r="BS116" s="301"/>
      <c r="BT116" s="301"/>
      <c r="CB116" s="298"/>
      <c r="CC116" s="298"/>
    </row>
    <row r="117" spans="2:82" s="302" customFormat="1" x14ac:dyDescent="0.2">
      <c r="B117" s="292"/>
      <c r="C117" s="293"/>
      <c r="D117" s="294"/>
      <c r="E117" s="295"/>
      <c r="F117" s="295"/>
      <c r="G117" s="294"/>
      <c r="H117" s="294"/>
      <c r="I117" s="295"/>
      <c r="J117" s="296"/>
      <c r="K117" s="297"/>
      <c r="L117" s="298"/>
      <c r="M117" s="297"/>
      <c r="N117" s="297"/>
      <c r="O117" s="299"/>
      <c r="P117" s="300"/>
      <c r="Q117" s="300"/>
      <c r="R117" s="300"/>
      <c r="S117" s="300"/>
      <c r="T117" s="301"/>
      <c r="U117" s="301"/>
      <c r="V117" s="301"/>
      <c r="W117" s="301"/>
      <c r="X117" s="301"/>
      <c r="Y117" s="301"/>
      <c r="Z117" s="301"/>
      <c r="AA117" s="301"/>
      <c r="AB117" s="293"/>
      <c r="AC117" s="293"/>
      <c r="AD117" s="301"/>
      <c r="AE117" s="301"/>
      <c r="AF117" s="301"/>
      <c r="AG117" s="301"/>
      <c r="AP117" s="301"/>
      <c r="AQ117" s="301"/>
      <c r="AR117" s="301"/>
      <c r="BA117" s="301"/>
      <c r="BB117" s="301"/>
      <c r="BC117" s="301"/>
      <c r="BD117" s="303"/>
      <c r="BE117" s="303"/>
      <c r="BF117" s="303"/>
      <c r="BG117" s="299"/>
      <c r="BK117" s="301"/>
      <c r="BL117" s="301"/>
      <c r="BM117" s="301"/>
      <c r="BN117" s="301"/>
      <c r="BO117" s="301"/>
      <c r="BP117" s="301"/>
      <c r="BQ117" s="301"/>
      <c r="BR117" s="301"/>
      <c r="BS117" s="301"/>
      <c r="BT117" s="301"/>
      <c r="CB117" s="298"/>
      <c r="CC117" s="298"/>
    </row>
    <row r="118" spans="2:82" s="302" customFormat="1" x14ac:dyDescent="0.2">
      <c r="B118" s="292"/>
      <c r="C118" s="293"/>
      <c r="D118" s="294"/>
      <c r="E118" s="295"/>
      <c r="F118" s="295"/>
      <c r="G118" s="294"/>
      <c r="H118" s="294"/>
      <c r="I118" s="295"/>
      <c r="J118" s="296"/>
      <c r="K118" s="297"/>
      <c r="L118" s="298"/>
      <c r="M118" s="297"/>
      <c r="N118" s="297"/>
      <c r="O118" s="299"/>
      <c r="P118" s="300"/>
      <c r="Q118" s="300"/>
      <c r="R118" s="300"/>
      <c r="S118" s="300"/>
      <c r="T118" s="301"/>
      <c r="U118" s="301"/>
      <c r="V118" s="301"/>
      <c r="W118" s="301"/>
      <c r="X118" s="301"/>
      <c r="Y118" s="301"/>
      <c r="Z118" s="301"/>
      <c r="AA118" s="301"/>
      <c r="AB118" s="293"/>
      <c r="AC118" s="293"/>
      <c r="AD118" s="301"/>
      <c r="AE118" s="301"/>
      <c r="AF118" s="301"/>
      <c r="AG118" s="301"/>
      <c r="AP118" s="301"/>
      <c r="AQ118" s="301"/>
      <c r="AR118" s="301"/>
      <c r="BA118" s="301"/>
      <c r="BB118" s="301"/>
      <c r="BC118" s="301"/>
      <c r="BD118" s="303"/>
      <c r="BE118" s="303"/>
      <c r="BF118" s="303"/>
      <c r="BG118" s="299"/>
      <c r="BK118" s="301"/>
      <c r="BL118" s="301"/>
      <c r="BM118" s="301"/>
      <c r="BN118" s="301"/>
      <c r="BO118" s="301"/>
      <c r="BP118" s="301"/>
      <c r="BQ118" s="301"/>
      <c r="BR118" s="301"/>
      <c r="BS118" s="301"/>
      <c r="BT118" s="301"/>
      <c r="CB118" s="298"/>
      <c r="CC118" s="298"/>
    </row>
    <row r="119" spans="2:82" s="302" customFormat="1" x14ac:dyDescent="0.2">
      <c r="B119" s="292"/>
      <c r="C119" s="293"/>
      <c r="D119" s="294"/>
      <c r="E119" s="295"/>
      <c r="F119" s="295"/>
      <c r="G119" s="294"/>
      <c r="H119" s="294"/>
      <c r="I119" s="295"/>
      <c r="J119" s="296"/>
      <c r="K119" s="297"/>
      <c r="L119" s="298"/>
      <c r="M119" s="297"/>
      <c r="N119" s="297"/>
      <c r="O119" s="299"/>
      <c r="P119" s="300"/>
      <c r="Q119" s="300"/>
      <c r="R119" s="300"/>
      <c r="S119" s="300"/>
      <c r="T119" s="301"/>
      <c r="U119" s="301"/>
      <c r="V119" s="301"/>
      <c r="W119" s="301"/>
      <c r="X119" s="301"/>
      <c r="Y119" s="301"/>
      <c r="Z119" s="301"/>
      <c r="AA119" s="301"/>
      <c r="AB119" s="293"/>
      <c r="AC119" s="293"/>
      <c r="AD119" s="301"/>
      <c r="AE119" s="301"/>
      <c r="AF119" s="301"/>
      <c r="AG119" s="301"/>
      <c r="AP119" s="301"/>
      <c r="AQ119" s="301"/>
      <c r="AR119" s="301"/>
      <c r="BA119" s="301"/>
      <c r="BB119" s="301"/>
      <c r="BC119" s="301"/>
      <c r="BD119" s="303"/>
      <c r="BE119" s="303"/>
      <c r="BF119" s="303"/>
      <c r="BG119" s="299"/>
      <c r="BK119" s="301"/>
      <c r="BL119" s="301"/>
      <c r="BM119" s="301"/>
      <c r="BN119" s="301"/>
      <c r="BO119" s="301"/>
      <c r="BP119" s="301"/>
      <c r="BQ119" s="301"/>
      <c r="BR119" s="301"/>
      <c r="BS119" s="301"/>
      <c r="BT119" s="301"/>
      <c r="CB119" s="298"/>
      <c r="CC119" s="298"/>
    </row>
    <row r="120" spans="2:82" s="302" customFormat="1" x14ac:dyDescent="0.2">
      <c r="B120" s="292"/>
      <c r="C120" s="293"/>
      <c r="D120" s="294"/>
      <c r="E120" s="295"/>
      <c r="F120" s="295"/>
      <c r="G120" s="294"/>
      <c r="H120" s="294"/>
      <c r="I120" s="295"/>
      <c r="J120" s="296"/>
      <c r="K120" s="297"/>
      <c r="L120" s="298"/>
      <c r="M120" s="297"/>
      <c r="N120" s="297"/>
      <c r="O120" s="299"/>
      <c r="P120" s="300"/>
      <c r="Q120" s="300"/>
      <c r="R120" s="300"/>
      <c r="S120" s="300"/>
      <c r="T120" s="301"/>
      <c r="U120" s="301"/>
      <c r="V120" s="301"/>
      <c r="W120" s="301"/>
      <c r="X120" s="301"/>
      <c r="Y120" s="301"/>
      <c r="Z120" s="301"/>
      <c r="AA120" s="301"/>
      <c r="AB120" s="293"/>
      <c r="AC120" s="293"/>
      <c r="AD120" s="301"/>
      <c r="AE120" s="301"/>
      <c r="AF120" s="301"/>
      <c r="AG120" s="301"/>
      <c r="AP120" s="301"/>
      <c r="AQ120" s="301"/>
      <c r="AR120" s="301"/>
      <c r="BA120" s="301"/>
      <c r="BB120" s="301"/>
      <c r="BC120" s="301"/>
      <c r="BD120" s="303"/>
      <c r="BE120" s="303"/>
      <c r="BF120" s="303"/>
      <c r="BG120" s="299"/>
      <c r="BK120" s="301"/>
      <c r="BL120" s="301"/>
      <c r="BM120" s="301"/>
      <c r="BN120" s="301"/>
      <c r="BO120" s="301"/>
      <c r="BP120" s="301"/>
      <c r="BQ120" s="301"/>
      <c r="BR120" s="301"/>
      <c r="BS120" s="301"/>
      <c r="BT120" s="301"/>
      <c r="CB120" s="298"/>
      <c r="CC120" s="298"/>
    </row>
    <row r="121" spans="2:82" s="302" customFormat="1" x14ac:dyDescent="0.2">
      <c r="B121" s="292"/>
      <c r="C121" s="293"/>
      <c r="D121" s="294"/>
      <c r="E121" s="295"/>
      <c r="F121" s="295"/>
      <c r="G121" s="294"/>
      <c r="H121" s="294"/>
      <c r="I121" s="295"/>
      <c r="J121" s="296"/>
      <c r="K121" s="297"/>
      <c r="L121" s="298"/>
      <c r="M121" s="297"/>
      <c r="N121" s="297"/>
      <c r="O121" s="299"/>
      <c r="P121" s="300"/>
      <c r="Q121" s="300"/>
      <c r="R121" s="300"/>
      <c r="S121" s="300"/>
      <c r="T121" s="301"/>
      <c r="U121" s="301"/>
      <c r="V121" s="301"/>
      <c r="W121" s="301"/>
      <c r="X121" s="301"/>
      <c r="Y121" s="301"/>
      <c r="Z121" s="301"/>
      <c r="AA121" s="301"/>
      <c r="AB121" s="293"/>
      <c r="AC121" s="293"/>
      <c r="AD121" s="301"/>
      <c r="AE121" s="301"/>
      <c r="AF121" s="301"/>
      <c r="AG121" s="301"/>
      <c r="AP121" s="301"/>
      <c r="AQ121" s="301"/>
      <c r="AR121" s="301"/>
      <c r="BA121" s="301"/>
      <c r="BB121" s="301"/>
      <c r="BC121" s="301"/>
      <c r="BD121" s="303"/>
      <c r="BE121" s="303"/>
      <c r="BF121" s="303"/>
      <c r="BG121" s="299"/>
      <c r="BK121" s="301"/>
      <c r="BL121" s="301"/>
      <c r="BM121" s="301"/>
      <c r="BN121" s="301"/>
      <c r="BO121" s="301"/>
      <c r="BP121" s="301"/>
      <c r="BQ121" s="301"/>
      <c r="BR121" s="301"/>
      <c r="BS121" s="301"/>
      <c r="BT121" s="301"/>
      <c r="CB121" s="298"/>
      <c r="CC121" s="298"/>
    </row>
    <row r="122" spans="2:82" s="302" customFormat="1" x14ac:dyDescent="0.2">
      <c r="B122" s="292"/>
      <c r="C122" s="293"/>
      <c r="D122" s="294"/>
      <c r="E122" s="295"/>
      <c r="F122" s="295"/>
      <c r="G122" s="294"/>
      <c r="H122" s="294"/>
      <c r="I122" s="295"/>
      <c r="J122" s="296"/>
      <c r="K122" s="297"/>
      <c r="L122" s="298"/>
      <c r="M122" s="297"/>
      <c r="N122" s="297"/>
      <c r="O122" s="299"/>
      <c r="P122" s="300"/>
      <c r="Q122" s="300"/>
      <c r="R122" s="300"/>
      <c r="S122" s="300"/>
      <c r="T122" s="301"/>
      <c r="U122" s="301"/>
      <c r="V122" s="301"/>
      <c r="W122" s="301"/>
      <c r="X122" s="301"/>
      <c r="Y122" s="301"/>
      <c r="Z122" s="301"/>
      <c r="AA122" s="301"/>
      <c r="AB122" s="293"/>
      <c r="AC122" s="293"/>
      <c r="AD122" s="301"/>
      <c r="AE122" s="301"/>
      <c r="AF122" s="301"/>
      <c r="AG122" s="301"/>
      <c r="AP122" s="301"/>
      <c r="AQ122" s="301"/>
      <c r="AR122" s="301"/>
      <c r="BA122" s="301"/>
      <c r="BB122" s="301"/>
      <c r="BC122" s="301"/>
      <c r="BD122" s="303"/>
      <c r="BE122" s="303"/>
      <c r="BF122" s="303"/>
      <c r="BG122" s="299"/>
      <c r="BK122" s="301"/>
      <c r="BL122" s="301"/>
      <c r="BM122" s="301"/>
      <c r="BN122" s="301"/>
      <c r="BO122" s="301"/>
      <c r="BP122" s="301"/>
      <c r="BQ122" s="301"/>
      <c r="BR122" s="301"/>
      <c r="BS122" s="301"/>
      <c r="BT122" s="301"/>
      <c r="CB122" s="298"/>
      <c r="CC122" s="298"/>
    </row>
    <row r="123" spans="2:82" s="302" customFormat="1" x14ac:dyDescent="0.2">
      <c r="B123" s="292"/>
      <c r="C123" s="293"/>
      <c r="D123" s="294"/>
      <c r="E123" s="295"/>
      <c r="F123" s="295"/>
      <c r="G123" s="294"/>
      <c r="H123" s="294"/>
      <c r="I123" s="295"/>
      <c r="J123" s="296"/>
      <c r="K123" s="297"/>
      <c r="L123" s="298"/>
      <c r="M123" s="297"/>
      <c r="N123" s="297"/>
      <c r="O123" s="299"/>
      <c r="P123" s="300"/>
      <c r="Q123" s="300"/>
      <c r="R123" s="300"/>
      <c r="S123" s="300"/>
      <c r="T123" s="301"/>
      <c r="U123" s="301"/>
      <c r="V123" s="301"/>
      <c r="W123" s="301"/>
      <c r="X123" s="301"/>
      <c r="Y123" s="301"/>
      <c r="Z123" s="301"/>
      <c r="AA123" s="301"/>
      <c r="AB123" s="293"/>
      <c r="AC123" s="293"/>
      <c r="AD123" s="301"/>
      <c r="AE123" s="301"/>
      <c r="AF123" s="301"/>
      <c r="AG123" s="301"/>
      <c r="AP123" s="301"/>
      <c r="AQ123" s="301"/>
      <c r="AR123" s="301"/>
      <c r="BA123" s="301"/>
      <c r="BB123" s="301"/>
      <c r="BC123" s="301"/>
      <c r="BD123" s="303"/>
      <c r="BE123" s="303"/>
      <c r="BF123" s="303"/>
      <c r="BG123" s="299"/>
      <c r="BK123" s="301"/>
      <c r="BL123" s="301"/>
      <c r="BM123" s="301"/>
      <c r="BN123" s="301"/>
      <c r="BO123" s="301"/>
      <c r="BP123" s="301"/>
      <c r="BQ123" s="301"/>
      <c r="BR123" s="301"/>
      <c r="BS123" s="301"/>
      <c r="BT123" s="301"/>
      <c r="CB123" s="298"/>
      <c r="CC123" s="298"/>
    </row>
    <row r="124" spans="2:82" s="302" customFormat="1" x14ac:dyDescent="0.2">
      <c r="B124" s="292"/>
      <c r="C124" s="293"/>
      <c r="D124" s="294"/>
      <c r="E124" s="295"/>
      <c r="F124" s="295"/>
      <c r="G124" s="294"/>
      <c r="H124" s="294"/>
      <c r="I124" s="295"/>
      <c r="J124" s="296"/>
      <c r="K124" s="297"/>
      <c r="L124" s="298"/>
      <c r="M124" s="297"/>
      <c r="N124" s="297"/>
      <c r="O124" s="299"/>
      <c r="P124" s="300"/>
      <c r="Q124" s="300"/>
      <c r="R124" s="300"/>
      <c r="S124" s="300"/>
      <c r="T124" s="301"/>
      <c r="U124" s="301"/>
      <c r="V124" s="301"/>
      <c r="W124" s="301"/>
      <c r="X124" s="301"/>
      <c r="Y124" s="301"/>
      <c r="Z124" s="301"/>
      <c r="AA124" s="301"/>
      <c r="AB124" s="293"/>
      <c r="AC124" s="293"/>
      <c r="AD124" s="301"/>
      <c r="AE124" s="301"/>
      <c r="AF124" s="301"/>
      <c r="AG124" s="301"/>
      <c r="AP124" s="301"/>
      <c r="AQ124" s="301"/>
      <c r="AR124" s="301"/>
      <c r="BA124" s="301"/>
      <c r="BB124" s="301"/>
      <c r="BC124" s="301"/>
      <c r="BD124" s="303"/>
      <c r="BE124" s="303"/>
      <c r="BF124" s="303"/>
      <c r="BG124" s="299"/>
      <c r="BK124" s="301"/>
      <c r="BL124" s="301"/>
      <c r="BM124" s="301"/>
      <c r="BN124" s="301"/>
      <c r="BO124" s="301"/>
      <c r="BP124" s="301"/>
      <c r="BQ124" s="301"/>
      <c r="BR124" s="301"/>
      <c r="BS124" s="301"/>
      <c r="BT124" s="301"/>
      <c r="CB124" s="298"/>
      <c r="CC124" s="298"/>
    </row>
    <row r="125" spans="2:82" s="302" customFormat="1" x14ac:dyDescent="0.2">
      <c r="B125" s="292"/>
      <c r="C125" s="293"/>
      <c r="D125" s="294"/>
      <c r="E125" s="295"/>
      <c r="F125" s="295"/>
      <c r="G125" s="294"/>
      <c r="H125" s="294"/>
      <c r="I125" s="295"/>
      <c r="J125" s="296"/>
      <c r="K125" s="297"/>
      <c r="L125" s="298"/>
      <c r="M125" s="297"/>
      <c r="N125" s="297"/>
      <c r="O125" s="299"/>
      <c r="P125" s="300"/>
      <c r="Q125" s="300"/>
      <c r="R125" s="300"/>
      <c r="S125" s="300"/>
      <c r="T125" s="301"/>
      <c r="U125" s="301"/>
      <c r="V125" s="301"/>
      <c r="W125" s="301"/>
      <c r="X125" s="301"/>
      <c r="Y125" s="301"/>
      <c r="Z125" s="301"/>
      <c r="AA125" s="301"/>
      <c r="AB125" s="293"/>
      <c r="AC125" s="293"/>
      <c r="AD125" s="301"/>
      <c r="AE125" s="301"/>
      <c r="AF125" s="301"/>
      <c r="AG125" s="301"/>
      <c r="AP125" s="301"/>
      <c r="AQ125" s="301"/>
      <c r="AR125" s="301"/>
      <c r="BA125" s="301"/>
      <c r="BB125" s="301"/>
      <c r="BC125" s="301"/>
      <c r="BD125" s="303"/>
      <c r="BE125" s="303"/>
      <c r="BF125" s="303"/>
      <c r="BG125" s="299"/>
      <c r="BP125" s="301"/>
      <c r="BQ125" s="301"/>
      <c r="BR125" s="301"/>
      <c r="BS125" s="301"/>
      <c r="BT125" s="301"/>
      <c r="CB125" s="298"/>
      <c r="CC125" s="298"/>
    </row>
    <row r="126" spans="2:82" s="302" customFormat="1" x14ac:dyDescent="0.2">
      <c r="B126" s="292"/>
      <c r="C126" s="293"/>
      <c r="D126" s="294"/>
      <c r="E126" s="295"/>
      <c r="F126" s="295"/>
      <c r="G126" s="294"/>
      <c r="H126" s="294"/>
      <c r="I126" s="295"/>
      <c r="J126" s="296"/>
      <c r="K126" s="297"/>
      <c r="L126" s="298"/>
      <c r="M126" s="297"/>
      <c r="N126" s="297"/>
      <c r="O126" s="299"/>
      <c r="P126" s="300"/>
      <c r="Q126" s="300"/>
      <c r="R126" s="300"/>
      <c r="S126" s="300"/>
      <c r="T126" s="301"/>
      <c r="U126" s="301"/>
      <c r="V126" s="301"/>
      <c r="W126" s="301"/>
      <c r="X126" s="301"/>
      <c r="Y126" s="301"/>
      <c r="Z126" s="301"/>
      <c r="AA126" s="301"/>
      <c r="AB126" s="293"/>
      <c r="AC126" s="293"/>
      <c r="AD126" s="301"/>
      <c r="AE126" s="301"/>
      <c r="AF126" s="301"/>
      <c r="AG126" s="301"/>
      <c r="AP126" s="301"/>
      <c r="AQ126" s="301"/>
      <c r="AR126" s="301"/>
      <c r="BA126" s="301"/>
      <c r="BB126" s="301"/>
      <c r="BC126" s="301"/>
      <c r="BD126" s="303"/>
      <c r="BE126" s="303"/>
      <c r="BF126" s="303"/>
      <c r="BG126" s="299"/>
      <c r="BP126" s="301"/>
      <c r="BQ126" s="301"/>
      <c r="BR126" s="301"/>
      <c r="BS126" s="301"/>
      <c r="BT126" s="301"/>
      <c r="CB126" s="298"/>
      <c r="CC126" s="298"/>
    </row>
    <row r="127" spans="2:82" s="302" customFormat="1" x14ac:dyDescent="0.2">
      <c r="B127" s="292"/>
      <c r="C127" s="293"/>
      <c r="D127" s="304"/>
      <c r="E127" s="304"/>
      <c r="F127" s="295"/>
      <c r="G127" s="294"/>
      <c r="H127" s="294"/>
      <c r="I127" s="295"/>
      <c r="J127" s="296"/>
      <c r="K127" s="297"/>
      <c r="L127" s="298"/>
      <c r="M127" s="297"/>
      <c r="N127" s="297"/>
      <c r="O127" s="299"/>
      <c r="P127" s="300"/>
      <c r="Q127" s="300"/>
      <c r="R127" s="300"/>
      <c r="S127" s="300"/>
      <c r="T127" s="301"/>
      <c r="U127" s="301"/>
      <c r="V127" s="301"/>
      <c r="W127" s="301"/>
      <c r="X127" s="301"/>
      <c r="Y127" s="301"/>
      <c r="Z127" s="301"/>
      <c r="AA127" s="301"/>
      <c r="AB127" s="293"/>
      <c r="AC127" s="293"/>
      <c r="AD127" s="301"/>
      <c r="AE127" s="301"/>
      <c r="AF127" s="301"/>
      <c r="AG127" s="301"/>
      <c r="AP127" s="301"/>
      <c r="AQ127" s="301"/>
      <c r="AR127" s="301"/>
      <c r="BA127" s="301"/>
      <c r="BB127" s="301"/>
      <c r="BC127" s="301"/>
      <c r="BD127" s="303"/>
      <c r="BE127" s="303"/>
      <c r="BF127" s="303"/>
      <c r="BG127" s="299"/>
      <c r="BP127" s="301"/>
      <c r="BQ127" s="301"/>
      <c r="BR127" s="301"/>
      <c r="BS127" s="301"/>
      <c r="BT127" s="301"/>
      <c r="CB127" s="298"/>
      <c r="CC127" s="298"/>
    </row>
    <row r="128" spans="2:82" s="302" customFormat="1" x14ac:dyDescent="0.2">
      <c r="B128" s="292"/>
      <c r="C128" s="293"/>
      <c r="D128" s="304"/>
      <c r="E128" s="304"/>
      <c r="F128" s="295"/>
      <c r="G128" s="294"/>
      <c r="H128" s="294"/>
      <c r="I128" s="295"/>
      <c r="J128" s="296"/>
      <c r="K128" s="297"/>
      <c r="L128" s="298"/>
      <c r="M128" s="297"/>
      <c r="N128" s="297"/>
      <c r="O128" s="299"/>
      <c r="P128" s="300"/>
      <c r="Q128" s="300"/>
      <c r="R128" s="300"/>
      <c r="S128" s="300"/>
      <c r="T128" s="301"/>
      <c r="U128" s="301"/>
      <c r="V128" s="301"/>
      <c r="W128" s="301"/>
      <c r="X128" s="301"/>
      <c r="Y128" s="301"/>
      <c r="Z128" s="301"/>
      <c r="AA128" s="301"/>
      <c r="AB128" s="293"/>
      <c r="AC128" s="293"/>
      <c r="AD128" s="301"/>
      <c r="AE128" s="301"/>
      <c r="AF128" s="301"/>
      <c r="AG128" s="301"/>
      <c r="AP128" s="301"/>
      <c r="AQ128" s="301"/>
      <c r="AR128" s="301"/>
      <c r="BA128" s="301"/>
      <c r="BB128" s="301"/>
      <c r="BC128" s="301"/>
      <c r="BD128" s="303"/>
      <c r="BE128" s="303"/>
      <c r="BF128" s="303"/>
      <c r="BG128" s="299"/>
      <c r="BP128" s="301"/>
      <c r="BQ128" s="301"/>
      <c r="BR128" s="301"/>
      <c r="BS128" s="301"/>
      <c r="BT128" s="301"/>
      <c r="CB128" s="298"/>
      <c r="CC128" s="298"/>
    </row>
    <row r="129" spans="2:81" s="302" customFormat="1" x14ac:dyDescent="0.2">
      <c r="B129" s="292"/>
      <c r="C129" s="293"/>
      <c r="D129" s="304"/>
      <c r="E129" s="304"/>
      <c r="F129" s="295"/>
      <c r="G129" s="294"/>
      <c r="H129" s="294"/>
      <c r="I129" s="295"/>
      <c r="J129" s="296"/>
      <c r="K129" s="297"/>
      <c r="L129" s="298"/>
      <c r="M129" s="297"/>
      <c r="N129" s="297"/>
      <c r="O129" s="299"/>
      <c r="P129" s="300"/>
      <c r="Q129" s="300"/>
      <c r="R129" s="300"/>
      <c r="S129" s="300"/>
      <c r="T129" s="301"/>
      <c r="U129" s="301"/>
      <c r="V129" s="301"/>
      <c r="W129" s="301"/>
      <c r="X129" s="301"/>
      <c r="Y129" s="301"/>
      <c r="Z129" s="301"/>
      <c r="AA129" s="301"/>
      <c r="AB129" s="293"/>
      <c r="AC129" s="293"/>
      <c r="AD129" s="301"/>
      <c r="AE129" s="301"/>
      <c r="AF129" s="301"/>
      <c r="AG129" s="301"/>
      <c r="AP129" s="301"/>
      <c r="AQ129" s="301"/>
      <c r="AR129" s="301"/>
      <c r="BA129" s="301"/>
      <c r="BB129" s="301"/>
      <c r="BC129" s="301"/>
      <c r="BD129" s="303"/>
      <c r="BE129" s="303"/>
      <c r="BF129" s="303"/>
      <c r="BG129" s="299"/>
      <c r="BP129" s="301"/>
      <c r="BQ129" s="301"/>
      <c r="BR129" s="301"/>
      <c r="BS129" s="301"/>
      <c r="BT129" s="301"/>
      <c r="CB129" s="298"/>
      <c r="CC129" s="298"/>
    </row>
    <row r="130" spans="2:81" s="302" customFormat="1" x14ac:dyDescent="0.2">
      <c r="B130" s="292"/>
      <c r="C130" s="293"/>
      <c r="D130" s="304"/>
      <c r="E130" s="304"/>
      <c r="F130" s="295"/>
      <c r="G130" s="294"/>
      <c r="H130" s="294"/>
      <c r="I130" s="295"/>
      <c r="J130" s="296"/>
      <c r="K130" s="297"/>
      <c r="L130" s="298"/>
      <c r="M130" s="297"/>
      <c r="N130" s="297"/>
      <c r="O130" s="299"/>
      <c r="P130" s="300"/>
      <c r="Q130" s="300"/>
      <c r="R130" s="300"/>
      <c r="S130" s="300"/>
      <c r="T130" s="301"/>
      <c r="U130" s="301"/>
      <c r="V130" s="301"/>
      <c r="W130" s="301"/>
      <c r="X130" s="301"/>
      <c r="Y130" s="301"/>
      <c r="Z130" s="301"/>
      <c r="AA130" s="301"/>
      <c r="AB130" s="293"/>
      <c r="AC130" s="293"/>
      <c r="AD130" s="301"/>
      <c r="AE130" s="301"/>
      <c r="AF130" s="301"/>
      <c r="AG130" s="301"/>
      <c r="AP130" s="301"/>
      <c r="AQ130" s="301"/>
      <c r="AR130" s="301"/>
      <c r="BA130" s="301"/>
      <c r="BB130" s="301"/>
      <c r="BC130" s="301"/>
      <c r="BD130" s="303"/>
      <c r="BE130" s="303"/>
      <c r="BF130" s="303"/>
      <c r="BG130" s="299"/>
      <c r="BP130" s="301"/>
      <c r="BQ130" s="301"/>
      <c r="BR130" s="301"/>
      <c r="BS130" s="301"/>
      <c r="BT130" s="301"/>
      <c r="CB130" s="298"/>
      <c r="CC130" s="298"/>
    </row>
    <row r="131" spans="2:81" s="302" customFormat="1" x14ac:dyDescent="0.2">
      <c r="B131" s="292"/>
      <c r="C131" s="293"/>
      <c r="D131" s="304"/>
      <c r="E131" s="304"/>
      <c r="F131" s="295"/>
      <c r="G131" s="294"/>
      <c r="H131" s="294"/>
      <c r="I131" s="295"/>
      <c r="J131" s="296"/>
      <c r="K131" s="297"/>
      <c r="L131" s="298"/>
      <c r="M131" s="297"/>
      <c r="N131" s="297"/>
      <c r="O131" s="299"/>
      <c r="P131" s="300"/>
      <c r="Q131" s="300"/>
      <c r="R131" s="300"/>
      <c r="S131" s="300"/>
      <c r="T131" s="301"/>
      <c r="U131" s="301"/>
      <c r="V131" s="301"/>
      <c r="W131" s="301"/>
      <c r="X131" s="301"/>
      <c r="Y131" s="301"/>
      <c r="Z131" s="301"/>
      <c r="AA131" s="301"/>
      <c r="AB131" s="293"/>
      <c r="AC131" s="293"/>
      <c r="AD131" s="301"/>
      <c r="AE131" s="301"/>
      <c r="AF131" s="301"/>
      <c r="AG131" s="301"/>
      <c r="AP131" s="301"/>
      <c r="AQ131" s="301"/>
      <c r="AR131" s="301"/>
      <c r="BA131" s="301"/>
      <c r="BB131" s="301"/>
      <c r="BC131" s="301"/>
      <c r="BD131" s="303"/>
      <c r="BE131" s="303"/>
      <c r="BF131" s="303"/>
      <c r="BG131" s="299"/>
      <c r="BP131" s="301"/>
      <c r="BQ131" s="301"/>
      <c r="BR131" s="301"/>
      <c r="BS131" s="301"/>
      <c r="BT131" s="301"/>
      <c r="CB131" s="298"/>
      <c r="CC131" s="298"/>
    </row>
    <row r="132" spans="2:81" s="302" customFormat="1" x14ac:dyDescent="0.2">
      <c r="B132" s="292"/>
      <c r="C132" s="293"/>
      <c r="D132" s="304"/>
      <c r="E132" s="304"/>
      <c r="F132" s="295"/>
      <c r="G132" s="294"/>
      <c r="H132" s="294"/>
      <c r="I132" s="295"/>
      <c r="J132" s="296"/>
      <c r="K132" s="297"/>
      <c r="L132" s="298"/>
      <c r="M132" s="297"/>
      <c r="N132" s="297"/>
      <c r="O132" s="299"/>
      <c r="P132" s="300"/>
      <c r="Q132" s="300"/>
      <c r="R132" s="300"/>
      <c r="S132" s="300"/>
      <c r="T132" s="301"/>
      <c r="U132" s="301"/>
      <c r="V132" s="301"/>
      <c r="W132" s="301"/>
      <c r="X132" s="301"/>
      <c r="Y132" s="301"/>
      <c r="Z132" s="301"/>
      <c r="AA132" s="301"/>
      <c r="AB132" s="293"/>
      <c r="AC132" s="293"/>
      <c r="AD132" s="301"/>
      <c r="AE132" s="301"/>
      <c r="AF132" s="301"/>
      <c r="AG132" s="301"/>
      <c r="AP132" s="301"/>
      <c r="AQ132" s="301"/>
      <c r="AR132" s="301"/>
      <c r="BA132" s="301"/>
      <c r="BB132" s="301"/>
      <c r="BC132" s="301"/>
      <c r="BD132" s="303"/>
      <c r="BE132" s="303"/>
      <c r="BF132" s="303"/>
      <c r="BG132" s="299"/>
      <c r="BP132" s="301"/>
      <c r="BQ132" s="301"/>
      <c r="BR132" s="301"/>
      <c r="BS132" s="301"/>
      <c r="BT132" s="301"/>
      <c r="CB132" s="298"/>
      <c r="CC132" s="298"/>
    </row>
    <row r="133" spans="2:81" s="302" customFormat="1" x14ac:dyDescent="0.2">
      <c r="B133" s="292"/>
      <c r="C133" s="305"/>
      <c r="E133" s="304"/>
      <c r="F133" s="301"/>
      <c r="G133" s="301"/>
      <c r="H133" s="301"/>
      <c r="I133" s="301"/>
      <c r="J133" s="296"/>
      <c r="K133" s="297"/>
      <c r="L133" s="298"/>
      <c r="M133" s="297"/>
      <c r="N133" s="297"/>
      <c r="O133" s="299"/>
      <c r="P133" s="300"/>
      <c r="Q133" s="300"/>
      <c r="R133" s="300"/>
      <c r="S133" s="300"/>
      <c r="T133" s="301"/>
      <c r="U133" s="301"/>
      <c r="V133" s="301"/>
      <c r="W133" s="301"/>
      <c r="X133" s="301"/>
      <c r="Y133" s="301"/>
      <c r="Z133" s="301"/>
      <c r="AA133" s="301"/>
      <c r="AB133" s="293"/>
      <c r="AC133" s="293"/>
      <c r="AD133" s="301"/>
      <c r="AE133" s="301"/>
      <c r="AF133" s="301"/>
      <c r="AG133" s="301"/>
      <c r="AP133" s="301"/>
      <c r="AQ133" s="301"/>
      <c r="AR133" s="301"/>
      <c r="BA133" s="301"/>
      <c r="BB133" s="301"/>
      <c r="BC133" s="301"/>
      <c r="BD133" s="303"/>
      <c r="BE133" s="303"/>
      <c r="BF133" s="303"/>
      <c r="BG133" s="299"/>
      <c r="BP133" s="301"/>
      <c r="BQ133" s="301"/>
      <c r="BR133" s="301"/>
      <c r="BS133" s="301"/>
      <c r="BT133" s="301"/>
    </row>
    <row r="134" spans="2:81" s="302" customFormat="1" x14ac:dyDescent="0.2">
      <c r="B134" s="292"/>
      <c r="C134" s="305"/>
      <c r="E134" s="304"/>
      <c r="F134" s="301"/>
      <c r="G134" s="301"/>
      <c r="H134" s="301"/>
      <c r="I134" s="301"/>
      <c r="J134" s="296"/>
      <c r="K134" s="297"/>
      <c r="L134" s="298"/>
      <c r="M134" s="297"/>
      <c r="N134" s="297"/>
      <c r="O134" s="299"/>
      <c r="P134" s="300"/>
      <c r="Q134" s="300"/>
      <c r="R134" s="300"/>
      <c r="S134" s="300"/>
      <c r="T134" s="301"/>
      <c r="U134" s="301"/>
      <c r="V134" s="301"/>
      <c r="W134" s="301"/>
      <c r="X134" s="301"/>
      <c r="Y134" s="301"/>
      <c r="Z134" s="301"/>
      <c r="AA134" s="301"/>
      <c r="AB134" s="293"/>
      <c r="AC134" s="293"/>
      <c r="AD134" s="301"/>
      <c r="AE134" s="301"/>
      <c r="AF134" s="301"/>
      <c r="AG134" s="301"/>
      <c r="AP134" s="301"/>
      <c r="AQ134" s="301"/>
      <c r="AR134" s="301"/>
      <c r="BA134" s="301"/>
      <c r="BB134" s="301"/>
      <c r="BC134" s="301"/>
      <c r="BD134" s="303"/>
      <c r="BE134" s="303"/>
      <c r="BF134" s="303"/>
      <c r="BG134" s="299"/>
      <c r="BP134" s="301"/>
      <c r="BQ134" s="301"/>
      <c r="BR134" s="301"/>
      <c r="BS134" s="301"/>
      <c r="BT134" s="301"/>
    </row>
    <row r="135" spans="2:81" s="302" customFormat="1" x14ac:dyDescent="0.2">
      <c r="B135" s="292"/>
      <c r="C135" s="305"/>
      <c r="E135" s="304"/>
      <c r="F135" s="301"/>
      <c r="G135" s="301"/>
      <c r="H135" s="301"/>
      <c r="I135" s="301"/>
      <c r="J135" s="296"/>
      <c r="K135" s="297"/>
      <c r="L135" s="298"/>
      <c r="M135" s="297"/>
      <c r="N135" s="297"/>
      <c r="O135" s="299"/>
      <c r="P135" s="300"/>
      <c r="Q135" s="300"/>
      <c r="R135" s="300"/>
      <c r="S135" s="300"/>
      <c r="T135" s="301"/>
      <c r="U135" s="301"/>
      <c r="V135" s="301"/>
      <c r="W135" s="301"/>
      <c r="X135" s="301"/>
      <c r="Y135" s="301"/>
      <c r="Z135" s="301"/>
      <c r="AA135" s="301"/>
      <c r="AB135" s="293"/>
      <c r="AC135" s="293"/>
      <c r="AD135" s="301"/>
      <c r="AE135" s="301"/>
      <c r="AF135" s="301"/>
      <c r="AG135" s="301"/>
      <c r="AP135" s="301"/>
      <c r="AQ135" s="301"/>
      <c r="AR135" s="301"/>
      <c r="BA135" s="301"/>
      <c r="BB135" s="301"/>
      <c r="BC135" s="301"/>
      <c r="BD135" s="303"/>
      <c r="BE135" s="303"/>
      <c r="BF135" s="303"/>
      <c r="BG135" s="299"/>
      <c r="BP135" s="301"/>
      <c r="BQ135" s="301"/>
      <c r="BR135" s="301"/>
      <c r="BS135" s="301"/>
      <c r="BT135" s="301"/>
    </row>
    <row r="136" spans="2:81" s="302" customFormat="1" x14ac:dyDescent="0.2">
      <c r="B136" s="292"/>
      <c r="C136" s="305"/>
      <c r="E136" s="304"/>
      <c r="F136" s="301"/>
      <c r="G136" s="301"/>
      <c r="H136" s="301"/>
      <c r="I136" s="301"/>
      <c r="J136" s="296"/>
      <c r="K136" s="297"/>
      <c r="L136" s="298"/>
      <c r="M136" s="297"/>
      <c r="N136" s="297"/>
      <c r="O136" s="299"/>
      <c r="P136" s="300"/>
      <c r="Q136" s="300"/>
      <c r="R136" s="300"/>
      <c r="S136" s="300"/>
      <c r="T136" s="301"/>
      <c r="U136" s="301"/>
      <c r="V136" s="301"/>
      <c r="W136" s="301"/>
      <c r="X136" s="301"/>
      <c r="Y136" s="301"/>
      <c r="Z136" s="301"/>
      <c r="AA136" s="301"/>
      <c r="AB136" s="293"/>
      <c r="AC136" s="293"/>
      <c r="AD136" s="301"/>
      <c r="AE136" s="301"/>
      <c r="AF136" s="301"/>
      <c r="AG136" s="301"/>
      <c r="AP136" s="301"/>
      <c r="AQ136" s="301"/>
      <c r="AR136" s="301"/>
      <c r="BA136" s="301"/>
      <c r="BB136" s="301"/>
      <c r="BC136" s="301"/>
      <c r="BD136" s="303"/>
      <c r="BE136" s="303"/>
      <c r="BF136" s="303"/>
      <c r="BG136" s="299"/>
      <c r="BP136" s="301"/>
      <c r="BQ136" s="301"/>
      <c r="BR136" s="301"/>
      <c r="BS136" s="301"/>
      <c r="BT136" s="301"/>
    </row>
    <row r="137" spans="2:81" s="302" customFormat="1" x14ac:dyDescent="0.2">
      <c r="B137" s="292"/>
      <c r="C137" s="305"/>
      <c r="E137" s="304"/>
      <c r="F137" s="301"/>
      <c r="G137" s="301"/>
      <c r="H137" s="301"/>
      <c r="I137" s="301"/>
      <c r="J137" s="296"/>
      <c r="K137" s="297"/>
      <c r="L137" s="298"/>
      <c r="M137" s="297"/>
      <c r="N137" s="297"/>
      <c r="O137" s="299"/>
      <c r="P137" s="300"/>
      <c r="Q137" s="300"/>
      <c r="R137" s="300"/>
      <c r="S137" s="300"/>
      <c r="T137" s="301"/>
      <c r="U137" s="301"/>
      <c r="V137" s="301"/>
      <c r="W137" s="301"/>
      <c r="X137" s="301"/>
      <c r="Y137" s="301"/>
      <c r="Z137" s="301"/>
      <c r="AA137" s="301"/>
      <c r="AB137" s="293"/>
      <c r="AC137" s="293"/>
      <c r="AD137" s="301"/>
      <c r="AE137" s="301"/>
      <c r="AF137" s="301"/>
      <c r="AG137" s="301"/>
      <c r="AP137" s="301"/>
      <c r="AQ137" s="301"/>
      <c r="AR137" s="301"/>
      <c r="BA137" s="301"/>
      <c r="BB137" s="301"/>
      <c r="BC137" s="301"/>
      <c r="BD137" s="303"/>
      <c r="BE137" s="303"/>
      <c r="BF137" s="303"/>
      <c r="BG137" s="299"/>
      <c r="BP137" s="301"/>
      <c r="BQ137" s="301"/>
      <c r="BR137" s="301"/>
      <c r="BS137" s="301"/>
      <c r="BT137" s="301"/>
    </row>
    <row r="138" spans="2:81" s="302" customFormat="1" x14ac:dyDescent="0.2">
      <c r="B138" s="292"/>
      <c r="C138" s="305"/>
      <c r="E138" s="304"/>
      <c r="F138" s="301"/>
      <c r="G138" s="301"/>
      <c r="H138" s="301"/>
      <c r="I138" s="301"/>
      <c r="J138" s="296"/>
      <c r="K138" s="297"/>
      <c r="L138" s="298"/>
      <c r="M138" s="297"/>
      <c r="N138" s="297"/>
      <c r="O138" s="299"/>
      <c r="P138" s="300"/>
      <c r="Q138" s="300"/>
      <c r="R138" s="300"/>
      <c r="S138" s="300"/>
      <c r="T138" s="301"/>
      <c r="U138" s="301"/>
      <c r="V138" s="301"/>
      <c r="W138" s="301"/>
      <c r="X138" s="301"/>
      <c r="Y138" s="301"/>
      <c r="Z138" s="301"/>
      <c r="AA138" s="301"/>
      <c r="AB138" s="293"/>
      <c r="AC138" s="293"/>
      <c r="AD138" s="301"/>
      <c r="AE138" s="301"/>
      <c r="AF138" s="301"/>
      <c r="AG138" s="301"/>
      <c r="AP138" s="301"/>
      <c r="AQ138" s="301"/>
      <c r="AR138" s="301"/>
      <c r="BA138" s="301"/>
      <c r="BB138" s="301"/>
      <c r="BC138" s="301"/>
      <c r="BD138" s="303"/>
      <c r="BE138" s="303"/>
      <c r="BF138" s="303"/>
      <c r="BG138" s="299"/>
      <c r="BP138" s="301"/>
      <c r="BQ138" s="301"/>
      <c r="BR138" s="301"/>
      <c r="BS138" s="301"/>
      <c r="BT138" s="301"/>
    </row>
    <row r="139" spans="2:81" s="302" customFormat="1" x14ac:dyDescent="0.2">
      <c r="B139" s="292"/>
      <c r="C139" s="305"/>
      <c r="E139" s="301"/>
      <c r="F139" s="301"/>
      <c r="G139" s="301"/>
      <c r="H139" s="301"/>
      <c r="I139" s="301"/>
      <c r="J139" s="296"/>
      <c r="K139" s="297"/>
      <c r="L139" s="298"/>
      <c r="M139" s="297"/>
      <c r="N139" s="297"/>
      <c r="O139" s="299"/>
      <c r="P139" s="300"/>
      <c r="Q139" s="300"/>
      <c r="R139" s="300"/>
      <c r="S139" s="300"/>
      <c r="T139" s="301"/>
      <c r="U139" s="301"/>
      <c r="V139" s="301"/>
      <c r="W139" s="301"/>
      <c r="X139" s="301"/>
      <c r="Y139" s="301"/>
      <c r="Z139" s="301"/>
      <c r="AA139" s="301"/>
      <c r="AB139" s="293"/>
      <c r="AC139" s="293"/>
      <c r="AD139" s="301"/>
      <c r="AE139" s="301"/>
      <c r="AF139" s="301"/>
      <c r="AG139" s="301"/>
      <c r="AP139" s="301"/>
      <c r="AQ139" s="301"/>
      <c r="AR139" s="301"/>
      <c r="BA139" s="301"/>
      <c r="BB139" s="301"/>
      <c r="BC139" s="301"/>
      <c r="BD139" s="303"/>
      <c r="BE139" s="303"/>
      <c r="BF139" s="303"/>
      <c r="BG139" s="299"/>
      <c r="BP139" s="301"/>
      <c r="BQ139" s="301"/>
      <c r="BR139" s="301"/>
      <c r="BS139" s="301"/>
      <c r="BT139" s="301"/>
    </row>
    <row r="140" spans="2:81" s="302" customFormat="1" x14ac:dyDescent="0.2">
      <c r="B140" s="292"/>
      <c r="C140" s="305"/>
      <c r="E140" s="301"/>
      <c r="F140" s="301"/>
      <c r="G140" s="301"/>
      <c r="H140" s="301"/>
      <c r="I140" s="301"/>
      <c r="J140" s="296"/>
      <c r="K140" s="297"/>
      <c r="L140" s="298"/>
      <c r="M140" s="297"/>
      <c r="N140" s="297"/>
      <c r="O140" s="299"/>
      <c r="P140" s="300"/>
      <c r="Q140" s="300"/>
      <c r="R140" s="300"/>
      <c r="S140" s="300"/>
      <c r="T140" s="301"/>
      <c r="U140" s="301"/>
      <c r="V140" s="301"/>
      <c r="W140" s="301"/>
      <c r="X140" s="301"/>
      <c r="Y140" s="301"/>
      <c r="Z140" s="301"/>
      <c r="AA140" s="301"/>
      <c r="AB140" s="293"/>
      <c r="AC140" s="293"/>
      <c r="AD140" s="301"/>
      <c r="AE140" s="301"/>
      <c r="AF140" s="301"/>
      <c r="AG140" s="301"/>
      <c r="AP140" s="301"/>
      <c r="AQ140" s="301"/>
      <c r="AR140" s="301"/>
      <c r="BA140" s="301"/>
      <c r="BB140" s="301"/>
      <c r="BC140" s="301"/>
      <c r="BD140" s="303"/>
      <c r="BE140" s="303"/>
      <c r="BF140" s="303"/>
      <c r="BG140" s="299"/>
      <c r="BP140" s="301"/>
      <c r="BQ140" s="301"/>
      <c r="BR140" s="301"/>
      <c r="BS140" s="301"/>
      <c r="BT140" s="301"/>
    </row>
    <row r="141" spans="2:81" s="302" customFormat="1" x14ac:dyDescent="0.2">
      <c r="B141" s="292"/>
      <c r="C141" s="305"/>
      <c r="E141" s="301"/>
      <c r="F141" s="301"/>
      <c r="G141" s="301"/>
      <c r="H141" s="301"/>
      <c r="I141" s="301"/>
      <c r="J141" s="296"/>
      <c r="K141" s="297"/>
      <c r="L141" s="298"/>
      <c r="M141" s="297"/>
      <c r="N141" s="297"/>
      <c r="O141" s="299"/>
      <c r="P141" s="300"/>
      <c r="Q141" s="300"/>
      <c r="R141" s="300"/>
      <c r="S141" s="300"/>
      <c r="T141" s="301"/>
      <c r="U141" s="301"/>
      <c r="V141" s="301"/>
      <c r="W141" s="301"/>
      <c r="X141" s="301"/>
      <c r="Y141" s="301"/>
      <c r="Z141" s="301"/>
      <c r="AA141" s="301"/>
      <c r="AB141" s="293"/>
      <c r="AC141" s="293"/>
      <c r="AD141" s="301"/>
      <c r="AE141" s="301"/>
      <c r="AF141" s="301"/>
      <c r="AG141" s="301"/>
      <c r="AP141" s="301"/>
      <c r="AQ141" s="301"/>
      <c r="AR141" s="301"/>
      <c r="BA141" s="301"/>
      <c r="BB141" s="301"/>
      <c r="BC141" s="301"/>
      <c r="BD141" s="303"/>
      <c r="BE141" s="303"/>
      <c r="BF141" s="303"/>
      <c r="BG141" s="299"/>
      <c r="BP141" s="301"/>
      <c r="BQ141" s="301"/>
      <c r="BR141" s="301"/>
      <c r="BS141" s="301"/>
      <c r="BT141" s="301"/>
    </row>
    <row r="142" spans="2:81" s="302" customFormat="1" x14ac:dyDescent="0.2">
      <c r="B142" s="292"/>
      <c r="C142" s="305"/>
      <c r="E142" s="301"/>
      <c r="F142" s="301"/>
      <c r="G142" s="301"/>
      <c r="H142" s="301"/>
      <c r="I142" s="301"/>
      <c r="J142" s="296"/>
      <c r="K142" s="297"/>
      <c r="L142" s="298"/>
      <c r="M142" s="297"/>
      <c r="N142" s="297"/>
      <c r="O142" s="299"/>
      <c r="P142" s="300"/>
      <c r="Q142" s="300"/>
      <c r="R142" s="300"/>
      <c r="S142" s="300"/>
      <c r="T142" s="301"/>
      <c r="U142" s="301"/>
      <c r="V142" s="301"/>
      <c r="W142" s="301"/>
      <c r="X142" s="301"/>
      <c r="Y142" s="301"/>
      <c r="Z142" s="301"/>
      <c r="AA142" s="301"/>
      <c r="AB142" s="293"/>
      <c r="AC142" s="293"/>
      <c r="AD142" s="301"/>
      <c r="AE142" s="301"/>
      <c r="AF142" s="301"/>
      <c r="AG142" s="301"/>
      <c r="AP142" s="301"/>
      <c r="AQ142" s="301"/>
      <c r="AR142" s="301"/>
      <c r="BA142" s="301"/>
      <c r="BB142" s="301"/>
      <c r="BC142" s="301"/>
      <c r="BD142" s="303"/>
      <c r="BE142" s="303"/>
      <c r="BF142" s="303"/>
      <c r="BG142" s="299"/>
      <c r="BP142" s="301"/>
      <c r="BQ142" s="301"/>
      <c r="BR142" s="301"/>
      <c r="BS142" s="301"/>
      <c r="BT142" s="301"/>
    </row>
    <row r="143" spans="2:81" s="302" customFormat="1" x14ac:dyDescent="0.2">
      <c r="B143" s="292"/>
      <c r="C143" s="305"/>
      <c r="E143" s="301"/>
      <c r="F143" s="301"/>
      <c r="G143" s="301"/>
      <c r="H143" s="301"/>
      <c r="I143" s="301"/>
      <c r="J143" s="296"/>
      <c r="K143" s="297"/>
      <c r="L143" s="298"/>
      <c r="M143" s="297"/>
      <c r="N143" s="297"/>
      <c r="O143" s="299"/>
      <c r="P143" s="300"/>
      <c r="Q143" s="300"/>
      <c r="R143" s="300"/>
      <c r="S143" s="300"/>
      <c r="T143" s="301"/>
      <c r="U143" s="301"/>
      <c r="V143" s="301"/>
      <c r="W143" s="301"/>
      <c r="X143" s="301"/>
      <c r="Y143" s="301"/>
      <c r="Z143" s="301"/>
      <c r="AA143" s="301"/>
      <c r="AB143" s="293"/>
      <c r="AC143" s="293"/>
      <c r="AD143" s="301"/>
      <c r="AE143" s="301"/>
      <c r="AF143" s="301"/>
      <c r="AG143" s="301"/>
      <c r="AP143" s="301"/>
      <c r="AQ143" s="301"/>
      <c r="AR143" s="301"/>
      <c r="BA143" s="301"/>
      <c r="BB143" s="301"/>
      <c r="BC143" s="301"/>
      <c r="BD143" s="303"/>
      <c r="BE143" s="303"/>
      <c r="BF143" s="303"/>
      <c r="BG143" s="299"/>
      <c r="BP143" s="301"/>
      <c r="BQ143" s="301"/>
      <c r="BR143" s="301"/>
      <c r="BS143" s="301"/>
      <c r="BT143" s="301"/>
    </row>
    <row r="144" spans="2:81" s="302" customFormat="1" x14ac:dyDescent="0.2">
      <c r="B144" s="292"/>
      <c r="C144" s="305"/>
      <c r="E144" s="301"/>
      <c r="F144" s="301"/>
      <c r="G144" s="301"/>
      <c r="H144" s="301"/>
      <c r="I144" s="301"/>
      <c r="J144" s="296"/>
      <c r="K144" s="297"/>
      <c r="L144" s="298"/>
      <c r="M144" s="297"/>
      <c r="N144" s="297"/>
      <c r="O144" s="299"/>
      <c r="P144" s="300"/>
      <c r="Q144" s="300"/>
      <c r="R144" s="300"/>
      <c r="S144" s="300"/>
      <c r="T144" s="301"/>
      <c r="U144" s="301"/>
      <c r="V144" s="301"/>
      <c r="W144" s="301"/>
      <c r="X144" s="301"/>
      <c r="Y144" s="301"/>
      <c r="Z144" s="301"/>
      <c r="AA144" s="301"/>
      <c r="AB144" s="293"/>
      <c r="AC144" s="293"/>
      <c r="AD144" s="301"/>
      <c r="AE144" s="301"/>
      <c r="AF144" s="301"/>
      <c r="AG144" s="301"/>
      <c r="AP144" s="301"/>
      <c r="AQ144" s="301"/>
      <c r="AR144" s="301"/>
      <c r="BA144" s="301"/>
      <c r="BB144" s="301"/>
      <c r="BC144" s="301"/>
      <c r="BD144" s="303"/>
      <c r="BE144" s="303"/>
      <c r="BF144" s="303"/>
      <c r="BG144" s="299"/>
      <c r="BP144" s="301"/>
      <c r="BQ144" s="301"/>
      <c r="BR144" s="301"/>
      <c r="BS144" s="301"/>
      <c r="BT144" s="301"/>
    </row>
    <row r="145" spans="2:72" s="302" customFormat="1" x14ac:dyDescent="0.2">
      <c r="B145" s="292"/>
      <c r="C145" s="305"/>
      <c r="E145" s="301"/>
      <c r="F145" s="301"/>
      <c r="G145" s="301"/>
      <c r="H145" s="301"/>
      <c r="I145" s="301"/>
      <c r="J145" s="296"/>
      <c r="K145" s="297"/>
      <c r="L145" s="298"/>
      <c r="M145" s="297"/>
      <c r="N145" s="297"/>
      <c r="O145" s="299"/>
      <c r="P145" s="300"/>
      <c r="Q145" s="300"/>
      <c r="R145" s="300"/>
      <c r="S145" s="300"/>
      <c r="T145" s="301"/>
      <c r="U145" s="301"/>
      <c r="V145" s="301"/>
      <c r="W145" s="301"/>
      <c r="X145" s="301"/>
      <c r="Y145" s="301"/>
      <c r="Z145" s="301"/>
      <c r="AA145" s="301"/>
      <c r="AB145" s="293"/>
      <c r="AC145" s="293"/>
      <c r="AD145" s="301"/>
      <c r="AE145" s="301"/>
      <c r="AF145" s="301"/>
      <c r="AG145" s="301"/>
      <c r="AP145" s="301"/>
      <c r="AQ145" s="301"/>
      <c r="AR145" s="301"/>
      <c r="BA145" s="301"/>
      <c r="BB145" s="301"/>
      <c r="BC145" s="301"/>
      <c r="BD145" s="303"/>
      <c r="BE145" s="303"/>
      <c r="BF145" s="303"/>
      <c r="BG145" s="299"/>
      <c r="BP145" s="301"/>
      <c r="BQ145" s="301"/>
      <c r="BR145" s="301"/>
      <c r="BS145" s="301"/>
      <c r="BT145" s="301"/>
    </row>
    <row r="146" spans="2:72" s="302" customFormat="1" x14ac:dyDescent="0.2">
      <c r="B146" s="292"/>
      <c r="C146" s="305"/>
      <c r="E146" s="301"/>
      <c r="F146" s="301"/>
      <c r="G146" s="301"/>
      <c r="H146" s="301"/>
      <c r="I146" s="301"/>
      <c r="J146" s="296"/>
      <c r="K146" s="297"/>
      <c r="L146" s="298"/>
      <c r="M146" s="297"/>
      <c r="N146" s="297"/>
      <c r="O146" s="299"/>
      <c r="P146" s="300"/>
      <c r="Q146" s="300"/>
      <c r="R146" s="300"/>
      <c r="S146" s="300"/>
      <c r="T146" s="301"/>
      <c r="U146" s="301"/>
      <c r="V146" s="301"/>
      <c r="W146" s="301"/>
      <c r="X146" s="301"/>
      <c r="Y146" s="301"/>
      <c r="Z146" s="301"/>
      <c r="AA146" s="301"/>
      <c r="AB146" s="293"/>
      <c r="AC146" s="293"/>
      <c r="AD146" s="301"/>
      <c r="AE146" s="301"/>
      <c r="AF146" s="301"/>
      <c r="AG146" s="301"/>
      <c r="AP146" s="301"/>
      <c r="AQ146" s="301"/>
      <c r="AR146" s="301"/>
      <c r="BA146" s="301"/>
      <c r="BB146" s="301"/>
      <c r="BC146" s="301"/>
      <c r="BD146" s="303"/>
      <c r="BE146" s="303"/>
      <c r="BF146" s="303"/>
      <c r="BG146" s="299"/>
      <c r="BP146" s="301"/>
      <c r="BQ146" s="301"/>
      <c r="BR146" s="301"/>
      <c r="BS146" s="301"/>
      <c r="BT146" s="301"/>
    </row>
    <row r="147" spans="2:72" s="302" customFormat="1" x14ac:dyDescent="0.2">
      <c r="B147" s="292"/>
      <c r="C147" s="305"/>
      <c r="E147" s="301"/>
      <c r="F147" s="301"/>
      <c r="G147" s="301"/>
      <c r="H147" s="301"/>
      <c r="I147" s="301"/>
      <c r="J147" s="296"/>
      <c r="K147" s="297"/>
      <c r="L147" s="298"/>
      <c r="M147" s="297"/>
      <c r="N147" s="297"/>
      <c r="O147" s="299"/>
      <c r="P147" s="300"/>
      <c r="Q147" s="300"/>
      <c r="R147" s="300"/>
      <c r="S147" s="300"/>
      <c r="T147" s="301"/>
      <c r="U147" s="301"/>
      <c r="V147" s="301"/>
      <c r="W147" s="301"/>
      <c r="X147" s="301"/>
      <c r="Y147" s="301"/>
      <c r="Z147" s="301"/>
      <c r="AA147" s="301"/>
      <c r="AB147" s="293"/>
      <c r="AC147" s="293"/>
      <c r="AD147" s="301"/>
      <c r="AE147" s="301"/>
      <c r="AF147" s="301"/>
      <c r="AG147" s="301"/>
      <c r="AP147" s="301"/>
      <c r="AQ147" s="301"/>
      <c r="AR147" s="301"/>
      <c r="BA147" s="301"/>
      <c r="BB147" s="301"/>
      <c r="BC147" s="301"/>
      <c r="BD147" s="303"/>
      <c r="BE147" s="303"/>
      <c r="BF147" s="303"/>
      <c r="BG147" s="299"/>
      <c r="BP147" s="301"/>
      <c r="BQ147" s="301"/>
      <c r="BR147" s="301"/>
      <c r="BS147" s="301"/>
      <c r="BT147" s="301"/>
    </row>
    <row r="148" spans="2:72" s="302" customFormat="1" x14ac:dyDescent="0.2">
      <c r="B148" s="292"/>
      <c r="C148" s="305"/>
      <c r="E148" s="301"/>
      <c r="F148" s="301"/>
      <c r="G148" s="301"/>
      <c r="H148" s="301"/>
      <c r="I148" s="301"/>
      <c r="J148" s="296"/>
      <c r="K148" s="297"/>
      <c r="L148" s="298"/>
      <c r="M148" s="297"/>
      <c r="N148" s="297"/>
      <c r="O148" s="299"/>
      <c r="P148" s="300"/>
      <c r="Q148" s="300"/>
      <c r="R148" s="300"/>
      <c r="S148" s="300"/>
      <c r="T148" s="301"/>
      <c r="U148" s="301"/>
      <c r="V148" s="301"/>
      <c r="W148" s="301"/>
      <c r="X148" s="301"/>
      <c r="Y148" s="301"/>
      <c r="Z148" s="301"/>
      <c r="AA148" s="301"/>
      <c r="AB148" s="293"/>
      <c r="AC148" s="293"/>
      <c r="AD148" s="301"/>
      <c r="AE148" s="301"/>
      <c r="AF148" s="301"/>
      <c r="AG148" s="301"/>
      <c r="AP148" s="301"/>
      <c r="AQ148" s="301"/>
      <c r="AR148" s="301"/>
      <c r="BA148" s="301"/>
      <c r="BB148" s="301"/>
      <c r="BC148" s="301"/>
      <c r="BD148" s="303"/>
      <c r="BE148" s="303"/>
      <c r="BF148" s="303"/>
      <c r="BG148" s="299"/>
      <c r="BP148" s="301"/>
      <c r="BQ148" s="301"/>
      <c r="BR148" s="301"/>
      <c r="BS148" s="301"/>
      <c r="BT148" s="301"/>
    </row>
    <row r="149" spans="2:72" s="302" customFormat="1" x14ac:dyDescent="0.2">
      <c r="B149" s="292"/>
      <c r="C149" s="305"/>
      <c r="E149" s="301"/>
      <c r="F149" s="301"/>
      <c r="G149" s="301"/>
      <c r="H149" s="301"/>
      <c r="I149" s="301"/>
      <c r="J149" s="296"/>
      <c r="K149" s="297"/>
      <c r="L149" s="298"/>
      <c r="M149" s="297"/>
      <c r="N149" s="297"/>
      <c r="O149" s="299"/>
      <c r="P149" s="300"/>
      <c r="Q149" s="300"/>
      <c r="R149" s="300"/>
      <c r="S149" s="300"/>
      <c r="T149" s="301"/>
      <c r="U149" s="301"/>
      <c r="V149" s="301"/>
      <c r="W149" s="301"/>
      <c r="X149" s="301"/>
      <c r="Y149" s="301"/>
      <c r="Z149" s="301"/>
      <c r="AA149" s="301"/>
      <c r="AB149" s="293"/>
      <c r="AC149" s="293"/>
      <c r="AD149" s="301"/>
      <c r="AE149" s="301"/>
      <c r="AF149" s="301"/>
      <c r="AG149" s="301"/>
      <c r="AP149" s="301"/>
      <c r="AQ149" s="301"/>
      <c r="AR149" s="301"/>
      <c r="BA149" s="301"/>
      <c r="BB149" s="301"/>
      <c r="BC149" s="301"/>
      <c r="BD149" s="303"/>
      <c r="BE149" s="303"/>
      <c r="BF149" s="303"/>
      <c r="BG149" s="299"/>
      <c r="BP149" s="301"/>
      <c r="BQ149" s="301"/>
      <c r="BR149" s="301"/>
      <c r="BS149" s="301"/>
      <c r="BT149" s="301"/>
    </row>
    <row r="150" spans="2:72" s="302" customFormat="1" x14ac:dyDescent="0.2">
      <c r="B150" s="292"/>
      <c r="C150" s="305"/>
      <c r="E150" s="301"/>
      <c r="F150" s="301"/>
      <c r="G150" s="301"/>
      <c r="H150" s="301"/>
      <c r="I150" s="301"/>
      <c r="J150" s="296"/>
      <c r="K150" s="297"/>
      <c r="L150" s="298"/>
      <c r="M150" s="297"/>
      <c r="N150" s="297"/>
      <c r="O150" s="299"/>
      <c r="P150" s="300"/>
      <c r="Q150" s="300"/>
      <c r="R150" s="300"/>
      <c r="S150" s="300"/>
      <c r="T150" s="301"/>
      <c r="U150" s="301"/>
      <c r="V150" s="301"/>
      <c r="W150" s="301"/>
      <c r="X150" s="301"/>
      <c r="Y150" s="301"/>
      <c r="Z150" s="301"/>
      <c r="AA150" s="301"/>
      <c r="AB150" s="293"/>
      <c r="AC150" s="293"/>
      <c r="AD150" s="301"/>
      <c r="AE150" s="301"/>
      <c r="AF150" s="301"/>
      <c r="AG150" s="301"/>
      <c r="AP150" s="301"/>
      <c r="AQ150" s="301"/>
      <c r="AR150" s="301"/>
      <c r="BA150" s="301"/>
      <c r="BB150" s="301"/>
      <c r="BC150" s="301"/>
      <c r="BD150" s="303"/>
      <c r="BE150" s="303"/>
      <c r="BF150" s="303"/>
      <c r="BG150" s="299"/>
      <c r="BP150" s="301"/>
      <c r="BQ150" s="301"/>
      <c r="BR150" s="301"/>
      <c r="BS150" s="301"/>
      <c r="BT150" s="301"/>
    </row>
    <row r="151" spans="2:72" s="302" customFormat="1" x14ac:dyDescent="0.2">
      <c r="B151" s="292"/>
      <c r="C151" s="305"/>
      <c r="E151" s="301"/>
      <c r="F151" s="301"/>
      <c r="G151" s="301"/>
      <c r="H151" s="301"/>
      <c r="I151" s="301"/>
      <c r="J151" s="296"/>
      <c r="K151" s="297"/>
      <c r="L151" s="298"/>
      <c r="M151" s="297"/>
      <c r="N151" s="297"/>
      <c r="O151" s="299"/>
      <c r="P151" s="300"/>
      <c r="Q151" s="300"/>
      <c r="R151" s="300"/>
      <c r="S151" s="300"/>
      <c r="T151" s="301"/>
      <c r="U151" s="301"/>
      <c r="V151" s="301"/>
      <c r="W151" s="301"/>
      <c r="X151" s="301"/>
      <c r="Y151" s="301"/>
      <c r="Z151" s="301"/>
      <c r="AA151" s="301"/>
      <c r="AB151" s="293"/>
      <c r="AC151" s="293"/>
      <c r="AD151" s="301"/>
      <c r="AE151" s="301"/>
      <c r="AF151" s="301"/>
      <c r="AG151" s="301"/>
      <c r="AP151" s="301"/>
      <c r="AQ151" s="301"/>
      <c r="AR151" s="301"/>
      <c r="BA151" s="301"/>
      <c r="BB151" s="301"/>
      <c r="BC151" s="301"/>
      <c r="BD151" s="303"/>
      <c r="BE151" s="303"/>
      <c r="BF151" s="303"/>
      <c r="BG151" s="299"/>
      <c r="BP151" s="301"/>
      <c r="BQ151" s="301"/>
      <c r="BR151" s="301"/>
      <c r="BS151" s="301"/>
      <c r="BT151" s="301"/>
    </row>
    <row r="152" spans="2:72" s="302" customFormat="1" x14ac:dyDescent="0.2">
      <c r="B152" s="292"/>
      <c r="C152" s="305"/>
      <c r="E152" s="301"/>
      <c r="F152" s="301"/>
      <c r="G152" s="301"/>
      <c r="H152" s="301"/>
      <c r="I152" s="301"/>
      <c r="J152" s="296"/>
      <c r="K152" s="297"/>
      <c r="L152" s="298"/>
      <c r="M152" s="297"/>
      <c r="N152" s="297"/>
      <c r="O152" s="299"/>
      <c r="P152" s="300"/>
      <c r="Q152" s="300"/>
      <c r="R152" s="300"/>
      <c r="S152" s="300"/>
      <c r="T152" s="301"/>
      <c r="U152" s="301"/>
      <c r="V152" s="301"/>
      <c r="W152" s="301"/>
      <c r="X152" s="301"/>
      <c r="Y152" s="301"/>
      <c r="Z152" s="301"/>
      <c r="AA152" s="301"/>
      <c r="AB152" s="293"/>
      <c r="AC152" s="293"/>
      <c r="AD152" s="301"/>
      <c r="AE152" s="301"/>
      <c r="AF152" s="301"/>
      <c r="AG152" s="301"/>
      <c r="AP152" s="301"/>
      <c r="AQ152" s="301"/>
      <c r="AR152" s="301"/>
      <c r="BA152" s="301"/>
      <c r="BB152" s="301"/>
      <c r="BC152" s="301"/>
      <c r="BD152" s="303"/>
      <c r="BE152" s="303"/>
      <c r="BF152" s="303"/>
      <c r="BG152" s="299"/>
      <c r="BP152" s="301"/>
      <c r="BQ152" s="301"/>
      <c r="BR152" s="301"/>
      <c r="BS152" s="301"/>
      <c r="BT152" s="301"/>
    </row>
    <row r="153" spans="2:72" s="302" customFormat="1" x14ac:dyDescent="0.2">
      <c r="B153" s="292"/>
      <c r="C153" s="305"/>
      <c r="E153" s="301"/>
      <c r="F153" s="301"/>
      <c r="G153" s="301"/>
      <c r="H153" s="301"/>
      <c r="I153" s="301"/>
      <c r="J153" s="296"/>
      <c r="K153" s="297"/>
      <c r="L153" s="298"/>
      <c r="M153" s="297"/>
      <c r="N153" s="297"/>
      <c r="O153" s="299"/>
      <c r="P153" s="300"/>
      <c r="Q153" s="300"/>
      <c r="R153" s="300"/>
      <c r="S153" s="300"/>
      <c r="T153" s="301"/>
      <c r="U153" s="301"/>
      <c r="V153" s="301"/>
      <c r="W153" s="301"/>
      <c r="X153" s="301"/>
      <c r="Y153" s="301"/>
      <c r="Z153" s="301"/>
      <c r="AA153" s="301"/>
      <c r="AB153" s="293"/>
      <c r="AC153" s="293"/>
      <c r="AD153" s="301"/>
      <c r="AE153" s="301"/>
      <c r="AF153" s="301"/>
      <c r="AG153" s="301"/>
      <c r="AP153" s="301"/>
      <c r="AQ153" s="301"/>
      <c r="AR153" s="301"/>
      <c r="BA153" s="301"/>
      <c r="BB153" s="301"/>
      <c r="BC153" s="301"/>
      <c r="BD153" s="303"/>
      <c r="BE153" s="303"/>
      <c r="BF153" s="303"/>
      <c r="BG153" s="299"/>
      <c r="BP153" s="301"/>
      <c r="BQ153" s="301"/>
      <c r="BR153" s="301"/>
      <c r="BS153" s="301"/>
      <c r="BT153" s="301"/>
    </row>
    <row r="154" spans="2:72" s="302" customFormat="1" x14ac:dyDescent="0.2">
      <c r="B154" s="292"/>
      <c r="C154" s="305"/>
      <c r="E154" s="301"/>
      <c r="F154" s="301"/>
      <c r="G154" s="301"/>
      <c r="H154" s="301"/>
      <c r="I154" s="301"/>
      <c r="J154" s="296"/>
      <c r="K154" s="297"/>
      <c r="L154" s="298"/>
      <c r="M154" s="297"/>
      <c r="N154" s="297"/>
      <c r="O154" s="299"/>
      <c r="P154" s="300"/>
      <c r="Q154" s="300"/>
      <c r="R154" s="300"/>
      <c r="S154" s="300"/>
      <c r="T154" s="301"/>
      <c r="U154" s="301"/>
      <c r="V154" s="301"/>
      <c r="W154" s="301"/>
      <c r="X154" s="301"/>
      <c r="Y154" s="301"/>
      <c r="Z154" s="301"/>
      <c r="AA154" s="301"/>
      <c r="AB154" s="293"/>
      <c r="AC154" s="293"/>
      <c r="AD154" s="301"/>
      <c r="AE154" s="301"/>
      <c r="AF154" s="301"/>
      <c r="AG154" s="301"/>
      <c r="AP154" s="301"/>
      <c r="AQ154" s="301"/>
      <c r="AR154" s="301"/>
      <c r="BA154" s="301"/>
      <c r="BB154" s="301"/>
      <c r="BC154" s="301"/>
      <c r="BD154" s="303"/>
      <c r="BE154" s="303"/>
      <c r="BF154" s="303"/>
      <c r="BG154" s="299"/>
      <c r="BP154" s="301"/>
      <c r="BQ154" s="301"/>
      <c r="BR154" s="301"/>
      <c r="BS154" s="301"/>
      <c r="BT154" s="301"/>
    </row>
    <row r="155" spans="2:72" s="302" customFormat="1" x14ac:dyDescent="0.2">
      <c r="B155" s="292"/>
      <c r="C155" s="305"/>
      <c r="E155" s="301"/>
      <c r="F155" s="301"/>
      <c r="G155" s="301"/>
      <c r="H155" s="301"/>
      <c r="I155" s="301"/>
      <c r="J155" s="296"/>
      <c r="K155" s="297"/>
      <c r="L155" s="298"/>
      <c r="M155" s="297"/>
      <c r="N155" s="297"/>
      <c r="O155" s="299"/>
      <c r="P155" s="300"/>
      <c r="Q155" s="300"/>
      <c r="R155" s="300"/>
      <c r="S155" s="300"/>
      <c r="T155" s="301"/>
      <c r="U155" s="301"/>
      <c r="V155" s="301"/>
      <c r="W155" s="301"/>
      <c r="X155" s="301"/>
      <c r="Y155" s="301"/>
      <c r="Z155" s="301"/>
      <c r="AA155" s="301"/>
      <c r="AB155" s="293"/>
      <c r="AC155" s="293"/>
      <c r="AD155" s="301"/>
      <c r="AE155" s="301"/>
      <c r="AF155" s="301"/>
      <c r="AG155" s="301"/>
      <c r="AP155" s="301"/>
      <c r="AQ155" s="301"/>
      <c r="AR155" s="301"/>
      <c r="BA155" s="301"/>
      <c r="BB155" s="301"/>
      <c r="BC155" s="301"/>
      <c r="BD155" s="303"/>
      <c r="BE155" s="303"/>
      <c r="BF155" s="303"/>
      <c r="BG155" s="299"/>
      <c r="BP155" s="301"/>
      <c r="BQ155" s="301"/>
      <c r="BR155" s="301"/>
      <c r="BS155" s="301"/>
      <c r="BT155" s="301"/>
    </row>
    <row r="156" spans="2:72" s="302" customFormat="1" x14ac:dyDescent="0.2">
      <c r="B156" s="292"/>
      <c r="C156" s="305"/>
      <c r="E156" s="301"/>
      <c r="F156" s="301"/>
      <c r="G156" s="301"/>
      <c r="H156" s="301"/>
      <c r="I156" s="301"/>
      <c r="J156" s="296"/>
      <c r="K156" s="297"/>
      <c r="L156" s="298"/>
      <c r="M156" s="297"/>
      <c r="N156" s="297"/>
      <c r="O156" s="299"/>
      <c r="P156" s="300"/>
      <c r="Q156" s="300"/>
      <c r="R156" s="300"/>
      <c r="S156" s="300"/>
      <c r="T156" s="301"/>
      <c r="U156" s="301"/>
      <c r="V156" s="301"/>
      <c r="W156" s="301"/>
      <c r="X156" s="301"/>
      <c r="Y156" s="301"/>
      <c r="Z156" s="301"/>
      <c r="AA156" s="301"/>
      <c r="AB156" s="293"/>
      <c r="AC156" s="293"/>
      <c r="AD156" s="301"/>
      <c r="AE156" s="301"/>
      <c r="AF156" s="301"/>
      <c r="AG156" s="301"/>
      <c r="AP156" s="301"/>
      <c r="AQ156" s="301"/>
      <c r="AR156" s="301"/>
      <c r="BA156" s="301"/>
      <c r="BB156" s="301"/>
      <c r="BC156" s="301"/>
      <c r="BD156" s="303"/>
      <c r="BE156" s="303"/>
      <c r="BF156" s="303"/>
      <c r="BG156" s="299"/>
      <c r="BP156" s="301"/>
      <c r="BQ156" s="301"/>
      <c r="BR156" s="301"/>
      <c r="BS156" s="301"/>
      <c r="BT156" s="301"/>
    </row>
    <row r="157" spans="2:72" s="302" customFormat="1" x14ac:dyDescent="0.2">
      <c r="B157" s="292"/>
      <c r="C157" s="305"/>
      <c r="E157" s="301"/>
      <c r="F157" s="301"/>
      <c r="G157" s="301"/>
      <c r="H157" s="301"/>
      <c r="I157" s="301"/>
      <c r="J157" s="296"/>
      <c r="K157" s="297"/>
      <c r="L157" s="298"/>
      <c r="M157" s="297"/>
      <c r="N157" s="297"/>
      <c r="O157" s="299"/>
      <c r="P157" s="300"/>
      <c r="Q157" s="300"/>
      <c r="R157" s="300"/>
      <c r="S157" s="300"/>
      <c r="T157" s="301"/>
      <c r="U157" s="301"/>
      <c r="V157" s="301"/>
      <c r="W157" s="301"/>
      <c r="X157" s="301"/>
      <c r="Y157" s="301"/>
      <c r="Z157" s="301"/>
      <c r="AA157" s="301"/>
      <c r="AB157" s="293"/>
      <c r="AC157" s="293"/>
      <c r="AD157" s="301"/>
      <c r="AE157" s="301"/>
      <c r="AF157" s="301"/>
      <c r="AG157" s="301"/>
      <c r="AP157" s="301"/>
      <c r="AQ157" s="301"/>
      <c r="AR157" s="301"/>
      <c r="BA157" s="301"/>
      <c r="BB157" s="301"/>
      <c r="BC157" s="301"/>
      <c r="BD157" s="303"/>
      <c r="BE157" s="303"/>
      <c r="BF157" s="303"/>
      <c r="BG157" s="299"/>
      <c r="BP157" s="301"/>
      <c r="BQ157" s="301"/>
      <c r="BR157" s="301"/>
      <c r="BS157" s="301"/>
      <c r="BT157" s="301"/>
    </row>
    <row r="158" spans="2:72" s="302" customFormat="1" x14ac:dyDescent="0.2">
      <c r="B158" s="292"/>
      <c r="C158" s="305"/>
      <c r="E158" s="301"/>
      <c r="F158" s="301"/>
      <c r="G158" s="301"/>
      <c r="H158" s="301"/>
      <c r="I158" s="301"/>
      <c r="J158" s="296"/>
      <c r="K158" s="297"/>
      <c r="L158" s="298"/>
      <c r="M158" s="297"/>
      <c r="N158" s="297"/>
      <c r="O158" s="299"/>
      <c r="P158" s="300"/>
      <c r="Q158" s="300"/>
      <c r="R158" s="300"/>
      <c r="S158" s="300"/>
      <c r="T158" s="301"/>
      <c r="U158" s="301"/>
      <c r="V158" s="301"/>
      <c r="W158" s="301"/>
      <c r="X158" s="301"/>
      <c r="Y158" s="301"/>
      <c r="Z158" s="301"/>
      <c r="AA158" s="301"/>
      <c r="AB158" s="293"/>
      <c r="AC158" s="293"/>
      <c r="AD158" s="301"/>
      <c r="AE158" s="301"/>
      <c r="AF158" s="301"/>
      <c r="AG158" s="301"/>
      <c r="AP158" s="301"/>
      <c r="AQ158" s="301"/>
      <c r="AR158" s="301"/>
      <c r="BA158" s="301"/>
      <c r="BB158" s="301"/>
      <c r="BC158" s="301"/>
      <c r="BD158" s="303"/>
      <c r="BE158" s="303"/>
      <c r="BF158" s="303"/>
      <c r="BG158" s="299"/>
      <c r="BP158" s="301"/>
      <c r="BQ158" s="301"/>
      <c r="BR158" s="301"/>
      <c r="BS158" s="301"/>
      <c r="BT158" s="301"/>
    </row>
    <row r="159" spans="2:72" s="302" customFormat="1" x14ac:dyDescent="0.2">
      <c r="B159" s="292"/>
      <c r="C159" s="305"/>
      <c r="E159" s="301"/>
      <c r="F159" s="301"/>
      <c r="G159" s="301"/>
      <c r="H159" s="301"/>
      <c r="I159" s="301"/>
      <c r="J159" s="296"/>
      <c r="K159" s="297"/>
      <c r="L159" s="298"/>
      <c r="M159" s="297"/>
      <c r="N159" s="297"/>
      <c r="O159" s="299"/>
      <c r="P159" s="300"/>
      <c r="Q159" s="300"/>
      <c r="R159" s="300"/>
      <c r="S159" s="300"/>
      <c r="T159" s="301"/>
      <c r="U159" s="301"/>
      <c r="V159" s="301"/>
      <c r="W159" s="301"/>
      <c r="X159" s="301"/>
      <c r="Y159" s="301"/>
      <c r="Z159" s="301"/>
      <c r="AA159" s="301"/>
      <c r="AB159" s="293"/>
      <c r="AC159" s="293"/>
      <c r="AD159" s="301"/>
      <c r="AE159" s="301"/>
      <c r="AF159" s="301"/>
      <c r="AG159" s="301"/>
      <c r="AP159" s="301"/>
      <c r="AQ159" s="301"/>
      <c r="AR159" s="301"/>
      <c r="BA159" s="301"/>
      <c r="BB159" s="301"/>
      <c r="BC159" s="301"/>
      <c r="BD159" s="303"/>
      <c r="BE159" s="303"/>
      <c r="BF159" s="303"/>
      <c r="BG159" s="299"/>
      <c r="BP159" s="301"/>
      <c r="BQ159" s="301"/>
      <c r="BR159" s="301"/>
      <c r="BS159" s="301"/>
      <c r="BT159" s="301"/>
    </row>
    <row r="160" spans="2:72" s="302" customFormat="1" x14ac:dyDescent="0.2">
      <c r="B160" s="292"/>
      <c r="C160" s="305"/>
      <c r="E160" s="301"/>
      <c r="F160" s="301"/>
      <c r="G160" s="301"/>
      <c r="H160" s="301"/>
      <c r="I160" s="301"/>
      <c r="J160" s="296"/>
      <c r="K160" s="297"/>
      <c r="L160" s="298"/>
      <c r="M160" s="297"/>
      <c r="N160" s="297"/>
      <c r="O160" s="299"/>
      <c r="P160" s="300"/>
      <c r="Q160" s="300"/>
      <c r="R160" s="300"/>
      <c r="S160" s="300"/>
      <c r="T160" s="301"/>
      <c r="U160" s="301"/>
      <c r="V160" s="301"/>
      <c r="W160" s="301"/>
      <c r="X160" s="301"/>
      <c r="Y160" s="301"/>
      <c r="Z160" s="301"/>
      <c r="AA160" s="301"/>
      <c r="AB160" s="293"/>
      <c r="AC160" s="293"/>
      <c r="AD160" s="301"/>
      <c r="AE160" s="301"/>
      <c r="AF160" s="301"/>
      <c r="AG160" s="301"/>
      <c r="AP160" s="301"/>
      <c r="AQ160" s="301"/>
      <c r="AR160" s="301"/>
      <c r="BA160" s="301"/>
      <c r="BB160" s="301"/>
      <c r="BC160" s="301"/>
      <c r="BD160" s="303"/>
      <c r="BE160" s="303"/>
      <c r="BF160" s="303"/>
      <c r="BG160" s="299"/>
      <c r="BP160" s="301"/>
      <c r="BQ160" s="301"/>
      <c r="BR160" s="301"/>
      <c r="BS160" s="301"/>
      <c r="BT160" s="301"/>
    </row>
    <row r="161" spans="2:72" s="302" customFormat="1" x14ac:dyDescent="0.2">
      <c r="B161" s="292"/>
      <c r="C161" s="305"/>
      <c r="E161" s="301"/>
      <c r="F161" s="301"/>
      <c r="G161" s="301"/>
      <c r="H161" s="301"/>
      <c r="I161" s="301"/>
      <c r="J161" s="296"/>
      <c r="K161" s="297"/>
      <c r="L161" s="298"/>
      <c r="M161" s="297"/>
      <c r="N161" s="297"/>
      <c r="O161" s="299"/>
      <c r="P161" s="300"/>
      <c r="Q161" s="300"/>
      <c r="R161" s="300"/>
      <c r="S161" s="300"/>
      <c r="T161" s="301"/>
      <c r="U161" s="301"/>
      <c r="V161" s="301"/>
      <c r="W161" s="301"/>
      <c r="X161" s="301"/>
      <c r="Y161" s="301"/>
      <c r="Z161" s="301"/>
      <c r="AA161" s="301"/>
      <c r="AB161" s="293"/>
      <c r="AC161" s="293"/>
      <c r="AD161" s="301"/>
      <c r="AE161" s="301"/>
      <c r="AF161" s="301"/>
      <c r="AG161" s="301"/>
      <c r="AP161" s="301"/>
      <c r="AQ161" s="301"/>
      <c r="AR161" s="301"/>
      <c r="BA161" s="301"/>
      <c r="BB161" s="301"/>
      <c r="BC161" s="301"/>
      <c r="BD161" s="303"/>
      <c r="BE161" s="303"/>
      <c r="BF161" s="303"/>
      <c r="BG161" s="299"/>
      <c r="BP161" s="301"/>
      <c r="BQ161" s="301"/>
      <c r="BR161" s="301"/>
      <c r="BS161" s="301"/>
      <c r="BT161" s="301"/>
    </row>
    <row r="162" spans="2:72" s="302" customFormat="1" x14ac:dyDescent="0.2">
      <c r="B162" s="292"/>
      <c r="C162" s="305"/>
      <c r="E162" s="301"/>
      <c r="F162" s="301"/>
      <c r="G162" s="301"/>
      <c r="H162" s="301"/>
      <c r="I162" s="301"/>
      <c r="J162" s="296"/>
      <c r="K162" s="297"/>
      <c r="L162" s="298"/>
      <c r="M162" s="297"/>
      <c r="N162" s="297"/>
      <c r="O162" s="299"/>
      <c r="P162" s="300"/>
      <c r="Q162" s="300"/>
      <c r="R162" s="300"/>
      <c r="S162" s="300"/>
      <c r="T162" s="301"/>
      <c r="U162" s="301"/>
      <c r="V162" s="301"/>
      <c r="W162" s="301"/>
      <c r="X162" s="301"/>
      <c r="Y162" s="301"/>
      <c r="Z162" s="301"/>
      <c r="AA162" s="301"/>
      <c r="AB162" s="293"/>
      <c r="AC162" s="293"/>
      <c r="AD162" s="301"/>
      <c r="AE162" s="301"/>
      <c r="AF162" s="301"/>
      <c r="AG162" s="301"/>
      <c r="AP162" s="301"/>
      <c r="AQ162" s="301"/>
      <c r="AR162" s="301"/>
      <c r="BA162" s="301"/>
      <c r="BB162" s="301"/>
      <c r="BC162" s="301"/>
      <c r="BD162" s="303"/>
      <c r="BE162" s="303"/>
      <c r="BF162" s="303"/>
      <c r="BG162" s="299"/>
      <c r="BP162" s="301"/>
      <c r="BQ162" s="301"/>
      <c r="BR162" s="301"/>
      <c r="BS162" s="301"/>
      <c r="BT162" s="301"/>
    </row>
    <row r="163" spans="2:72" s="302" customFormat="1" x14ac:dyDescent="0.2">
      <c r="B163" s="292"/>
      <c r="C163" s="305"/>
      <c r="E163" s="301"/>
      <c r="F163" s="301"/>
      <c r="G163" s="301"/>
      <c r="H163" s="301"/>
      <c r="I163" s="301"/>
      <c r="J163" s="296"/>
      <c r="K163" s="297"/>
      <c r="L163" s="298"/>
      <c r="M163" s="297"/>
      <c r="N163" s="297"/>
      <c r="O163" s="299"/>
      <c r="P163" s="300"/>
      <c r="Q163" s="300"/>
      <c r="R163" s="300"/>
      <c r="S163" s="300"/>
      <c r="T163" s="301"/>
      <c r="U163" s="301"/>
      <c r="V163" s="301"/>
      <c r="W163" s="301"/>
      <c r="X163" s="301"/>
      <c r="Y163" s="301"/>
      <c r="Z163" s="301"/>
      <c r="AA163" s="301"/>
      <c r="AB163" s="293"/>
      <c r="AC163" s="293"/>
      <c r="AD163" s="301"/>
      <c r="AE163" s="301"/>
      <c r="AF163" s="301"/>
      <c r="AG163" s="301"/>
      <c r="AP163" s="301"/>
      <c r="AQ163" s="301"/>
      <c r="AR163" s="301"/>
      <c r="BA163" s="301"/>
      <c r="BB163" s="301"/>
      <c r="BC163" s="301"/>
      <c r="BD163" s="303"/>
      <c r="BE163" s="303"/>
      <c r="BF163" s="303"/>
      <c r="BG163" s="299"/>
      <c r="BP163" s="301"/>
      <c r="BQ163" s="301"/>
      <c r="BR163" s="301"/>
      <c r="BS163" s="301"/>
      <c r="BT163" s="301"/>
    </row>
    <row r="164" spans="2:72" s="302" customFormat="1" x14ac:dyDescent="0.2">
      <c r="B164" s="292"/>
      <c r="C164" s="305"/>
      <c r="E164" s="301"/>
      <c r="F164" s="301"/>
      <c r="G164" s="301"/>
      <c r="H164" s="301"/>
      <c r="I164" s="301"/>
      <c r="J164" s="296"/>
      <c r="K164" s="297"/>
      <c r="L164" s="298"/>
      <c r="M164" s="297"/>
      <c r="N164" s="297"/>
      <c r="O164" s="299"/>
      <c r="P164" s="300"/>
      <c r="Q164" s="300"/>
      <c r="R164" s="300"/>
      <c r="S164" s="300"/>
      <c r="T164" s="301"/>
      <c r="U164" s="301"/>
      <c r="V164" s="301"/>
      <c r="W164" s="301"/>
      <c r="X164" s="301"/>
      <c r="Y164" s="301"/>
      <c r="Z164" s="301"/>
      <c r="AA164" s="301"/>
      <c r="AB164" s="293"/>
      <c r="AC164" s="293"/>
      <c r="AD164" s="301"/>
      <c r="AE164" s="301"/>
      <c r="AF164" s="301"/>
      <c r="AG164" s="301"/>
      <c r="AP164" s="301"/>
      <c r="AQ164" s="301"/>
      <c r="AR164" s="301"/>
      <c r="BA164" s="301"/>
      <c r="BB164" s="301"/>
      <c r="BC164" s="301"/>
      <c r="BD164" s="303"/>
      <c r="BE164" s="303"/>
      <c r="BF164" s="303"/>
      <c r="BG164" s="299"/>
      <c r="BP164" s="301"/>
      <c r="BQ164" s="301"/>
      <c r="BR164" s="301"/>
      <c r="BS164" s="301"/>
      <c r="BT164" s="301"/>
    </row>
    <row r="165" spans="2:72" s="302" customFormat="1" x14ac:dyDescent="0.2">
      <c r="B165" s="292"/>
      <c r="C165" s="305"/>
      <c r="E165" s="301"/>
      <c r="F165" s="301"/>
      <c r="G165" s="301"/>
      <c r="H165" s="301"/>
      <c r="I165" s="301"/>
      <c r="J165" s="296"/>
      <c r="K165" s="297"/>
      <c r="L165" s="298"/>
      <c r="M165" s="297"/>
      <c r="N165" s="297"/>
      <c r="O165" s="299"/>
      <c r="P165" s="300"/>
      <c r="Q165" s="300"/>
      <c r="R165" s="300"/>
      <c r="S165" s="300"/>
      <c r="T165" s="301"/>
      <c r="U165" s="301"/>
      <c r="V165" s="301"/>
      <c r="W165" s="301"/>
      <c r="X165" s="301"/>
      <c r="Y165" s="301"/>
      <c r="Z165" s="301"/>
      <c r="AA165" s="301"/>
      <c r="AB165" s="293"/>
      <c r="AC165" s="293"/>
      <c r="AD165" s="301"/>
      <c r="AE165" s="301"/>
      <c r="AF165" s="301"/>
      <c r="AG165" s="301"/>
      <c r="AP165" s="301"/>
      <c r="AQ165" s="301"/>
      <c r="AR165" s="301"/>
      <c r="BA165" s="301"/>
      <c r="BB165" s="301"/>
      <c r="BC165" s="301"/>
      <c r="BG165" s="299"/>
      <c r="BP165" s="301"/>
      <c r="BQ165" s="301"/>
      <c r="BR165" s="301"/>
      <c r="BS165" s="301"/>
      <c r="BT165" s="301"/>
    </row>
    <row r="166" spans="2:72" s="302" customFormat="1" x14ac:dyDescent="0.2">
      <c r="B166" s="292"/>
      <c r="C166" s="305"/>
      <c r="E166" s="301"/>
      <c r="F166" s="301"/>
      <c r="G166" s="301"/>
      <c r="H166" s="301"/>
      <c r="I166" s="301"/>
      <c r="J166" s="296"/>
      <c r="K166" s="297"/>
      <c r="L166" s="298"/>
      <c r="M166" s="297"/>
      <c r="N166" s="297"/>
      <c r="O166" s="299"/>
      <c r="P166" s="300"/>
      <c r="Q166" s="300"/>
      <c r="R166" s="300"/>
      <c r="S166" s="300"/>
      <c r="T166" s="301"/>
      <c r="U166" s="301"/>
      <c r="V166" s="301"/>
      <c r="W166" s="301"/>
      <c r="X166" s="301"/>
      <c r="Y166" s="301"/>
      <c r="Z166" s="301"/>
      <c r="AA166" s="301"/>
      <c r="AB166" s="293"/>
      <c r="AC166" s="293"/>
      <c r="AD166" s="301"/>
      <c r="AE166" s="301"/>
      <c r="AF166" s="301"/>
      <c r="AG166" s="301"/>
      <c r="AP166" s="301"/>
      <c r="AQ166" s="301"/>
      <c r="AR166" s="301"/>
      <c r="BG166" s="299"/>
      <c r="BP166" s="301"/>
      <c r="BQ166" s="301"/>
      <c r="BR166" s="301"/>
      <c r="BS166" s="301"/>
      <c r="BT166" s="301"/>
    </row>
    <row r="167" spans="2:72" s="302" customFormat="1" x14ac:dyDescent="0.2">
      <c r="B167" s="292"/>
      <c r="C167" s="305"/>
      <c r="E167" s="301"/>
      <c r="F167" s="301"/>
      <c r="G167" s="301"/>
      <c r="H167" s="301"/>
      <c r="I167" s="301"/>
      <c r="J167" s="296"/>
      <c r="K167" s="297"/>
      <c r="L167" s="298"/>
      <c r="M167" s="297"/>
      <c r="N167" s="297"/>
      <c r="O167" s="299"/>
      <c r="P167" s="300"/>
      <c r="Q167" s="300"/>
      <c r="R167" s="300"/>
      <c r="S167" s="300"/>
      <c r="T167" s="301"/>
      <c r="U167" s="301"/>
      <c r="V167" s="301"/>
      <c r="W167" s="301"/>
      <c r="X167" s="301"/>
      <c r="Y167" s="301"/>
      <c r="Z167" s="301"/>
      <c r="AA167" s="301"/>
      <c r="AB167" s="293"/>
      <c r="AC167" s="293"/>
      <c r="AD167" s="301"/>
      <c r="AE167" s="301"/>
      <c r="AF167" s="301"/>
      <c r="AG167" s="301"/>
      <c r="AP167" s="301"/>
      <c r="AQ167" s="301"/>
      <c r="AR167" s="301"/>
      <c r="BG167" s="299"/>
      <c r="BP167" s="301"/>
      <c r="BQ167" s="301"/>
      <c r="BR167" s="301"/>
      <c r="BS167" s="301"/>
      <c r="BT167" s="301"/>
    </row>
    <row r="168" spans="2:72" s="302" customFormat="1" x14ac:dyDescent="0.2">
      <c r="B168" s="292"/>
      <c r="C168" s="305"/>
      <c r="E168" s="301"/>
      <c r="F168" s="301"/>
      <c r="G168" s="301"/>
      <c r="H168" s="301"/>
      <c r="I168" s="301"/>
      <c r="J168" s="296"/>
      <c r="K168" s="297"/>
      <c r="L168" s="298"/>
      <c r="M168" s="297"/>
      <c r="N168" s="297"/>
      <c r="O168" s="299"/>
      <c r="P168" s="300"/>
      <c r="Q168" s="300"/>
      <c r="R168" s="300"/>
      <c r="S168" s="300"/>
      <c r="T168" s="301"/>
      <c r="U168" s="301"/>
      <c r="V168" s="301"/>
      <c r="W168" s="301"/>
      <c r="X168" s="301"/>
      <c r="Y168" s="301"/>
      <c r="Z168" s="301"/>
      <c r="AA168" s="301"/>
      <c r="AB168" s="293"/>
      <c r="AC168" s="293"/>
      <c r="AD168" s="301"/>
      <c r="AE168" s="301"/>
      <c r="AF168" s="301"/>
      <c r="AG168" s="301"/>
      <c r="AP168" s="301"/>
      <c r="AQ168" s="301"/>
      <c r="AR168" s="301"/>
      <c r="BG168" s="299"/>
      <c r="BP168" s="301"/>
      <c r="BQ168" s="301"/>
      <c r="BR168" s="301"/>
      <c r="BS168" s="301"/>
      <c r="BT168" s="301"/>
    </row>
    <row r="169" spans="2:72" s="302" customFormat="1" x14ac:dyDescent="0.2">
      <c r="B169" s="292"/>
      <c r="C169" s="305"/>
      <c r="E169" s="301"/>
      <c r="F169" s="301"/>
      <c r="G169" s="301"/>
      <c r="H169" s="301"/>
      <c r="I169" s="301"/>
      <c r="J169" s="296"/>
      <c r="K169" s="297"/>
      <c r="L169" s="298"/>
      <c r="M169" s="297"/>
      <c r="N169" s="297"/>
      <c r="O169" s="299"/>
      <c r="P169" s="300"/>
      <c r="Q169" s="300"/>
      <c r="R169" s="300"/>
      <c r="S169" s="300"/>
      <c r="T169" s="301"/>
      <c r="U169" s="301"/>
      <c r="V169" s="301"/>
      <c r="W169" s="301"/>
      <c r="X169" s="301"/>
      <c r="Y169" s="301"/>
      <c r="Z169" s="301"/>
      <c r="AA169" s="301"/>
      <c r="AB169" s="293"/>
      <c r="AC169" s="293"/>
      <c r="AD169" s="301"/>
      <c r="AE169" s="301"/>
      <c r="AF169" s="301"/>
      <c r="AG169" s="301"/>
      <c r="AP169" s="301"/>
      <c r="AQ169" s="301"/>
      <c r="AR169" s="301"/>
      <c r="BG169" s="299"/>
      <c r="BP169" s="301"/>
      <c r="BQ169" s="301"/>
      <c r="BR169" s="301"/>
      <c r="BS169" s="301"/>
      <c r="BT169" s="301"/>
    </row>
    <row r="170" spans="2:72" s="302" customFormat="1" x14ac:dyDescent="0.2">
      <c r="B170" s="292"/>
      <c r="C170" s="305"/>
      <c r="E170" s="301"/>
      <c r="F170" s="301"/>
      <c r="G170" s="301"/>
      <c r="H170" s="301"/>
      <c r="I170" s="301"/>
      <c r="J170" s="296"/>
      <c r="K170" s="297"/>
      <c r="L170" s="298"/>
      <c r="M170" s="297"/>
      <c r="N170" s="297"/>
      <c r="O170" s="299"/>
      <c r="P170" s="300"/>
      <c r="Q170" s="300"/>
      <c r="R170" s="300"/>
      <c r="S170" s="300"/>
      <c r="T170" s="301"/>
      <c r="U170" s="301"/>
      <c r="V170" s="301"/>
      <c r="W170" s="301"/>
      <c r="X170" s="301"/>
      <c r="Y170" s="301"/>
      <c r="Z170" s="301"/>
      <c r="AA170" s="301"/>
      <c r="AB170" s="293"/>
      <c r="AC170" s="293"/>
      <c r="AD170" s="301"/>
      <c r="AE170" s="301"/>
      <c r="AF170" s="301"/>
      <c r="AG170" s="301"/>
      <c r="AP170" s="301"/>
      <c r="AQ170" s="301"/>
      <c r="AR170" s="301"/>
      <c r="BG170" s="299"/>
      <c r="BP170" s="301"/>
      <c r="BQ170" s="301"/>
      <c r="BR170" s="301"/>
      <c r="BS170" s="301"/>
      <c r="BT170" s="301"/>
    </row>
    <row r="171" spans="2:72" s="302" customFormat="1" x14ac:dyDescent="0.2">
      <c r="B171" s="292"/>
      <c r="C171" s="305"/>
      <c r="E171" s="301"/>
      <c r="F171" s="301"/>
      <c r="G171" s="301"/>
      <c r="H171" s="301"/>
      <c r="I171" s="301"/>
      <c r="J171" s="296"/>
      <c r="K171" s="297"/>
      <c r="L171" s="298"/>
      <c r="M171" s="297"/>
      <c r="N171" s="297"/>
      <c r="O171" s="299"/>
      <c r="P171" s="300"/>
      <c r="Q171" s="300"/>
      <c r="R171" s="300"/>
      <c r="S171" s="300"/>
      <c r="T171" s="301"/>
      <c r="U171" s="301"/>
      <c r="V171" s="301"/>
      <c r="W171" s="301"/>
      <c r="X171" s="301"/>
      <c r="Y171" s="301"/>
      <c r="Z171" s="301"/>
      <c r="AA171" s="301"/>
      <c r="AB171" s="293"/>
      <c r="AC171" s="293"/>
      <c r="AD171" s="301"/>
      <c r="AE171" s="301"/>
      <c r="AF171" s="301"/>
      <c r="AG171" s="301"/>
      <c r="AP171" s="301"/>
      <c r="AQ171" s="301"/>
      <c r="AR171" s="301"/>
      <c r="BG171" s="299"/>
      <c r="BP171" s="301"/>
      <c r="BQ171" s="301"/>
      <c r="BR171" s="301"/>
      <c r="BS171" s="301"/>
      <c r="BT171" s="301"/>
    </row>
    <row r="172" spans="2:72" s="302" customFormat="1" x14ac:dyDescent="0.2">
      <c r="B172" s="292"/>
      <c r="C172" s="305"/>
      <c r="E172" s="301"/>
      <c r="F172" s="301"/>
      <c r="G172" s="301"/>
      <c r="H172" s="301"/>
      <c r="I172" s="301"/>
      <c r="J172" s="296"/>
      <c r="K172" s="297"/>
      <c r="L172" s="298"/>
      <c r="M172" s="297"/>
      <c r="N172" s="297"/>
      <c r="O172" s="299"/>
      <c r="P172" s="300"/>
      <c r="Q172" s="300"/>
      <c r="R172" s="300"/>
      <c r="S172" s="300"/>
      <c r="T172" s="301"/>
      <c r="U172" s="301"/>
      <c r="V172" s="301"/>
      <c r="W172" s="301"/>
      <c r="X172" s="301"/>
      <c r="Y172" s="301"/>
      <c r="Z172" s="301"/>
      <c r="AA172" s="301"/>
      <c r="AB172" s="293"/>
      <c r="AC172" s="293"/>
      <c r="AD172" s="301"/>
      <c r="AE172" s="301"/>
      <c r="AF172" s="301"/>
      <c r="AG172" s="301"/>
      <c r="AP172" s="301"/>
      <c r="AQ172" s="301"/>
      <c r="AR172" s="301"/>
      <c r="BG172" s="299"/>
      <c r="BP172" s="301"/>
      <c r="BQ172" s="301"/>
      <c r="BR172" s="301"/>
      <c r="BS172" s="301"/>
      <c r="BT172" s="301"/>
    </row>
    <row r="173" spans="2:72" s="302" customFormat="1" x14ac:dyDescent="0.2">
      <c r="B173" s="292"/>
      <c r="C173" s="305"/>
      <c r="E173" s="301"/>
      <c r="F173" s="301"/>
      <c r="G173" s="301"/>
      <c r="H173" s="301"/>
      <c r="I173" s="301"/>
      <c r="J173" s="296"/>
      <c r="K173" s="297"/>
      <c r="L173" s="298"/>
      <c r="M173" s="297"/>
      <c r="N173" s="297"/>
      <c r="O173" s="299"/>
      <c r="P173" s="300"/>
      <c r="Q173" s="300"/>
      <c r="R173" s="300"/>
      <c r="S173" s="300"/>
      <c r="T173" s="301"/>
      <c r="U173" s="301"/>
      <c r="V173" s="301"/>
      <c r="W173" s="301"/>
      <c r="X173" s="301"/>
      <c r="Y173" s="301"/>
      <c r="Z173" s="301"/>
      <c r="AA173" s="301"/>
      <c r="AB173" s="293"/>
      <c r="AC173" s="293"/>
      <c r="AD173" s="301"/>
      <c r="AE173" s="301"/>
      <c r="AF173" s="301"/>
      <c r="AG173" s="301"/>
      <c r="AP173" s="301"/>
      <c r="AQ173" s="301"/>
      <c r="AR173" s="301"/>
      <c r="BG173" s="299"/>
      <c r="BP173" s="301"/>
      <c r="BQ173" s="301"/>
      <c r="BR173" s="301"/>
      <c r="BS173" s="301"/>
      <c r="BT173" s="301"/>
    </row>
    <row r="174" spans="2:72" s="302" customFormat="1" x14ac:dyDescent="0.2">
      <c r="B174" s="292"/>
      <c r="C174" s="305"/>
      <c r="E174" s="301"/>
      <c r="F174" s="301"/>
      <c r="G174" s="301"/>
      <c r="H174" s="301"/>
      <c r="I174" s="301"/>
      <c r="J174" s="296"/>
      <c r="K174" s="297"/>
      <c r="L174" s="298"/>
      <c r="M174" s="297"/>
      <c r="N174" s="297"/>
      <c r="O174" s="299"/>
      <c r="P174" s="300"/>
      <c r="Q174" s="300"/>
      <c r="R174" s="300"/>
      <c r="S174" s="300"/>
      <c r="T174" s="301"/>
      <c r="U174" s="301"/>
      <c r="V174" s="301"/>
      <c r="W174" s="301"/>
      <c r="X174" s="301"/>
      <c r="Y174" s="301"/>
      <c r="Z174" s="301"/>
      <c r="AA174" s="301"/>
      <c r="AB174" s="293"/>
      <c r="AC174" s="293"/>
      <c r="AD174" s="301"/>
      <c r="AE174" s="301"/>
      <c r="AF174" s="301"/>
      <c r="AG174" s="301"/>
      <c r="AP174" s="301"/>
      <c r="AQ174" s="301"/>
      <c r="AR174" s="301"/>
      <c r="BG174" s="299"/>
      <c r="BP174" s="301"/>
      <c r="BQ174" s="301"/>
      <c r="BR174" s="301"/>
      <c r="BS174" s="301"/>
      <c r="BT174" s="301"/>
    </row>
    <row r="175" spans="2:72" s="302" customFormat="1" x14ac:dyDescent="0.2">
      <c r="B175" s="292"/>
      <c r="C175" s="305"/>
      <c r="E175" s="301"/>
      <c r="F175" s="301"/>
      <c r="G175" s="301"/>
      <c r="H175" s="301"/>
      <c r="I175" s="301"/>
      <c r="J175" s="296"/>
      <c r="K175" s="297"/>
      <c r="L175" s="298"/>
      <c r="M175" s="297"/>
      <c r="N175" s="297"/>
      <c r="O175" s="299"/>
      <c r="P175" s="300"/>
      <c r="Q175" s="300"/>
      <c r="R175" s="300"/>
      <c r="S175" s="300"/>
      <c r="T175" s="301"/>
      <c r="U175" s="301"/>
      <c r="V175" s="301"/>
      <c r="W175" s="301"/>
      <c r="X175" s="301"/>
      <c r="Y175" s="301"/>
      <c r="Z175" s="301"/>
      <c r="AA175" s="301"/>
      <c r="AB175" s="293"/>
      <c r="AC175" s="293"/>
      <c r="AD175" s="301"/>
      <c r="AE175" s="301"/>
      <c r="AF175" s="301"/>
      <c r="AG175" s="301"/>
      <c r="AP175" s="301"/>
      <c r="AQ175" s="301"/>
      <c r="AR175" s="301"/>
      <c r="BG175" s="299"/>
      <c r="BP175" s="301"/>
      <c r="BQ175" s="301"/>
      <c r="BR175" s="301"/>
      <c r="BS175" s="301"/>
      <c r="BT175" s="301"/>
    </row>
    <row r="176" spans="2:72" s="302" customFormat="1" x14ac:dyDescent="0.2">
      <c r="B176" s="292"/>
      <c r="C176" s="305"/>
      <c r="E176" s="301"/>
      <c r="F176" s="301"/>
      <c r="G176" s="301"/>
      <c r="H176" s="301"/>
      <c r="I176" s="301"/>
      <c r="J176" s="296"/>
      <c r="K176" s="297"/>
      <c r="L176" s="298"/>
      <c r="M176" s="297"/>
      <c r="N176" s="297"/>
      <c r="O176" s="299"/>
      <c r="P176" s="300"/>
      <c r="Q176" s="300"/>
      <c r="R176" s="300"/>
      <c r="S176" s="300"/>
      <c r="T176" s="301"/>
      <c r="U176" s="301"/>
      <c r="V176" s="301"/>
      <c r="W176" s="301"/>
      <c r="X176" s="301"/>
      <c r="Y176" s="301"/>
      <c r="Z176" s="301"/>
      <c r="AA176" s="301"/>
      <c r="AB176" s="293"/>
      <c r="AC176" s="293"/>
      <c r="AD176" s="301"/>
      <c r="AE176" s="301"/>
      <c r="AF176" s="301"/>
      <c r="AG176" s="301"/>
      <c r="AP176" s="301"/>
      <c r="AQ176" s="301"/>
      <c r="AR176" s="301"/>
      <c r="BG176" s="299"/>
      <c r="BP176" s="301"/>
      <c r="BQ176" s="301"/>
      <c r="BR176" s="301"/>
      <c r="BS176" s="301"/>
      <c r="BT176" s="301"/>
    </row>
    <row r="177" spans="2:72" s="302" customFormat="1" x14ac:dyDescent="0.2">
      <c r="B177" s="292"/>
      <c r="C177" s="305"/>
      <c r="E177" s="301"/>
      <c r="F177" s="301"/>
      <c r="G177" s="301"/>
      <c r="H177" s="301"/>
      <c r="I177" s="301"/>
      <c r="J177" s="296"/>
      <c r="K177" s="297"/>
      <c r="L177" s="298"/>
      <c r="M177" s="297"/>
      <c r="N177" s="297"/>
      <c r="O177" s="299"/>
      <c r="P177" s="300"/>
      <c r="Q177" s="300"/>
      <c r="R177" s="300"/>
      <c r="S177" s="300"/>
      <c r="T177" s="301"/>
      <c r="U177" s="301"/>
      <c r="V177" s="301"/>
      <c r="W177" s="301"/>
      <c r="X177" s="301"/>
      <c r="Y177" s="301"/>
      <c r="Z177" s="301"/>
      <c r="AA177" s="301"/>
      <c r="AB177" s="293"/>
      <c r="AC177" s="293"/>
      <c r="AD177" s="301"/>
      <c r="AE177" s="301"/>
      <c r="AF177" s="301"/>
      <c r="AG177" s="301"/>
      <c r="AP177" s="301"/>
      <c r="AQ177" s="301"/>
      <c r="AR177" s="301"/>
      <c r="BG177" s="299"/>
      <c r="BP177" s="301"/>
      <c r="BQ177" s="301"/>
      <c r="BR177" s="301"/>
      <c r="BS177" s="301"/>
      <c r="BT177" s="301"/>
    </row>
    <row r="178" spans="2:72" s="302" customFormat="1" x14ac:dyDescent="0.2">
      <c r="B178" s="292"/>
      <c r="C178" s="305"/>
      <c r="E178" s="301"/>
      <c r="F178" s="301"/>
      <c r="G178" s="301"/>
      <c r="H178" s="301"/>
      <c r="I178" s="301"/>
      <c r="J178" s="296"/>
      <c r="K178" s="297"/>
      <c r="L178" s="298"/>
      <c r="M178" s="297"/>
      <c r="N178" s="297"/>
      <c r="O178" s="299"/>
      <c r="P178" s="300"/>
      <c r="Q178" s="300"/>
      <c r="R178" s="300"/>
      <c r="S178" s="300"/>
      <c r="T178" s="301"/>
      <c r="U178" s="301"/>
      <c r="V178" s="301"/>
      <c r="W178" s="301"/>
      <c r="X178" s="301"/>
      <c r="Y178" s="301"/>
      <c r="Z178" s="301"/>
      <c r="AA178" s="301"/>
      <c r="AB178" s="293"/>
      <c r="AC178" s="293"/>
      <c r="AD178" s="301"/>
      <c r="AE178" s="301"/>
      <c r="AF178" s="301"/>
      <c r="AG178" s="301"/>
      <c r="AP178" s="301"/>
      <c r="AQ178" s="301"/>
      <c r="AR178" s="301"/>
      <c r="BG178" s="299"/>
      <c r="BP178" s="301"/>
      <c r="BQ178" s="301"/>
      <c r="BR178" s="301"/>
      <c r="BS178" s="301"/>
      <c r="BT178" s="301"/>
    </row>
    <row r="179" spans="2:72" s="302" customFormat="1" x14ac:dyDescent="0.2">
      <c r="B179" s="292"/>
      <c r="C179" s="305"/>
      <c r="E179" s="301"/>
      <c r="F179" s="301"/>
      <c r="G179" s="301"/>
      <c r="H179" s="301"/>
      <c r="I179" s="301"/>
      <c r="J179" s="296"/>
      <c r="K179" s="297"/>
      <c r="L179" s="298"/>
      <c r="M179" s="297"/>
      <c r="N179" s="297"/>
      <c r="O179" s="299"/>
      <c r="P179" s="300"/>
      <c r="Q179" s="300"/>
      <c r="R179" s="300"/>
      <c r="S179" s="300"/>
      <c r="T179" s="301"/>
      <c r="U179" s="301"/>
      <c r="V179" s="301"/>
      <c r="W179" s="301"/>
      <c r="X179" s="301"/>
      <c r="Y179" s="301"/>
      <c r="Z179" s="301"/>
      <c r="AA179" s="301"/>
      <c r="AB179" s="293"/>
      <c r="AC179" s="293"/>
      <c r="AD179" s="301"/>
      <c r="AE179" s="301"/>
      <c r="AF179" s="301"/>
      <c r="AG179" s="301"/>
      <c r="AP179" s="301"/>
      <c r="AQ179" s="301"/>
      <c r="AR179" s="301"/>
      <c r="BG179" s="299"/>
      <c r="BP179" s="301"/>
      <c r="BQ179" s="301"/>
      <c r="BR179" s="301"/>
      <c r="BS179" s="301"/>
      <c r="BT179" s="301"/>
    </row>
    <row r="180" spans="2:72" s="302" customFormat="1" x14ac:dyDescent="0.2">
      <c r="B180" s="292"/>
      <c r="C180" s="305"/>
      <c r="E180" s="301"/>
      <c r="F180" s="301"/>
      <c r="G180" s="301"/>
      <c r="H180" s="301"/>
      <c r="I180" s="301"/>
      <c r="J180" s="296"/>
      <c r="K180" s="297"/>
      <c r="L180" s="298"/>
      <c r="M180" s="297"/>
      <c r="N180" s="297"/>
      <c r="O180" s="299"/>
      <c r="P180" s="300"/>
      <c r="Q180" s="300"/>
      <c r="R180" s="300"/>
      <c r="S180" s="300"/>
      <c r="T180" s="301"/>
      <c r="U180" s="301"/>
      <c r="V180" s="301"/>
      <c r="W180" s="301"/>
      <c r="X180" s="301"/>
      <c r="Y180" s="301"/>
      <c r="Z180" s="301"/>
      <c r="AA180" s="301"/>
      <c r="AB180" s="293"/>
      <c r="AC180" s="293"/>
      <c r="AD180" s="301"/>
      <c r="AE180" s="301"/>
      <c r="AF180" s="301"/>
      <c r="AG180" s="301"/>
      <c r="AP180" s="301"/>
      <c r="AQ180" s="301"/>
      <c r="AR180" s="301"/>
      <c r="BG180" s="299"/>
      <c r="BP180" s="301"/>
      <c r="BQ180" s="301"/>
      <c r="BR180" s="301"/>
      <c r="BS180" s="301"/>
      <c r="BT180" s="301"/>
    </row>
    <row r="181" spans="2:72" s="302" customFormat="1" x14ac:dyDescent="0.2">
      <c r="B181" s="292"/>
      <c r="C181" s="305"/>
      <c r="E181" s="301"/>
      <c r="F181" s="301"/>
      <c r="G181" s="301"/>
      <c r="H181" s="301"/>
      <c r="I181" s="301"/>
      <c r="J181" s="296"/>
      <c r="K181" s="297"/>
      <c r="L181" s="298"/>
      <c r="M181" s="297"/>
      <c r="N181" s="297"/>
      <c r="O181" s="299"/>
      <c r="P181" s="300"/>
      <c r="Q181" s="300"/>
      <c r="R181" s="300"/>
      <c r="S181" s="300"/>
      <c r="T181" s="301"/>
      <c r="U181" s="301"/>
      <c r="V181" s="301"/>
      <c r="W181" s="301"/>
      <c r="X181" s="301"/>
      <c r="Y181" s="301"/>
      <c r="Z181" s="301"/>
      <c r="AA181" s="301"/>
      <c r="AB181" s="293"/>
      <c r="AC181" s="293"/>
      <c r="AD181" s="301"/>
      <c r="AE181" s="301"/>
      <c r="AF181" s="301"/>
      <c r="AG181" s="301"/>
      <c r="AP181" s="301"/>
      <c r="AQ181" s="301"/>
      <c r="AR181" s="301"/>
      <c r="BG181" s="299"/>
      <c r="BP181" s="301"/>
      <c r="BQ181" s="301"/>
      <c r="BR181" s="301"/>
      <c r="BS181" s="301"/>
      <c r="BT181" s="301"/>
    </row>
    <row r="182" spans="2:72" s="302" customFormat="1" x14ac:dyDescent="0.2">
      <c r="B182" s="292"/>
      <c r="C182" s="305"/>
      <c r="E182" s="301"/>
      <c r="F182" s="301"/>
      <c r="G182" s="301"/>
      <c r="H182" s="301"/>
      <c r="I182" s="301"/>
      <c r="J182" s="296"/>
      <c r="K182" s="297"/>
      <c r="L182" s="298"/>
      <c r="M182" s="297"/>
      <c r="N182" s="297"/>
      <c r="O182" s="299"/>
      <c r="P182" s="300"/>
      <c r="Q182" s="300"/>
      <c r="R182" s="300"/>
      <c r="S182" s="300"/>
      <c r="T182" s="301"/>
      <c r="U182" s="301"/>
      <c r="V182" s="301"/>
      <c r="W182" s="301"/>
      <c r="X182" s="301"/>
      <c r="Y182" s="301"/>
      <c r="Z182" s="301"/>
      <c r="AA182" s="301"/>
      <c r="AB182" s="293"/>
      <c r="AC182" s="293"/>
      <c r="AD182" s="301"/>
      <c r="AE182" s="301"/>
      <c r="AF182" s="301"/>
      <c r="AG182" s="301"/>
      <c r="AP182" s="301"/>
      <c r="AQ182" s="301"/>
      <c r="AR182" s="301"/>
      <c r="BG182" s="299"/>
      <c r="BP182" s="301"/>
      <c r="BQ182" s="301"/>
      <c r="BR182" s="301"/>
      <c r="BS182" s="301"/>
      <c r="BT182" s="301"/>
    </row>
    <row r="183" spans="2:72" s="302" customFormat="1" x14ac:dyDescent="0.2">
      <c r="B183" s="292"/>
      <c r="C183" s="305"/>
      <c r="E183" s="301"/>
      <c r="F183" s="301"/>
      <c r="G183" s="301"/>
      <c r="H183" s="301"/>
      <c r="I183" s="301"/>
      <c r="J183" s="296"/>
      <c r="K183" s="297"/>
      <c r="L183" s="298"/>
      <c r="M183" s="297"/>
      <c r="N183" s="297"/>
      <c r="O183" s="299"/>
      <c r="P183" s="300"/>
      <c r="Q183" s="300"/>
      <c r="R183" s="300"/>
      <c r="S183" s="300"/>
      <c r="T183" s="301"/>
      <c r="U183" s="301"/>
      <c r="V183" s="301"/>
      <c r="W183" s="301"/>
      <c r="X183" s="301"/>
      <c r="Y183" s="301"/>
      <c r="Z183" s="301"/>
      <c r="AA183" s="301"/>
      <c r="AB183" s="293"/>
      <c r="AC183" s="293"/>
      <c r="AD183" s="301"/>
      <c r="AE183" s="301"/>
      <c r="AF183" s="301"/>
      <c r="AG183" s="301"/>
      <c r="AP183" s="301"/>
      <c r="AQ183" s="301"/>
      <c r="AR183" s="301"/>
      <c r="BG183" s="299"/>
      <c r="BP183" s="301"/>
      <c r="BQ183" s="301"/>
      <c r="BR183" s="301"/>
      <c r="BS183" s="301"/>
      <c r="BT183" s="301"/>
    </row>
    <row r="184" spans="2:72" s="302" customFormat="1" x14ac:dyDescent="0.2">
      <c r="B184" s="292"/>
      <c r="C184" s="305"/>
      <c r="E184" s="301"/>
      <c r="F184" s="301"/>
      <c r="G184" s="301"/>
      <c r="H184" s="301"/>
      <c r="I184" s="301"/>
      <c r="J184" s="296"/>
      <c r="K184" s="297"/>
      <c r="L184" s="298"/>
      <c r="M184" s="297"/>
      <c r="N184" s="297"/>
      <c r="O184" s="299"/>
      <c r="P184" s="300"/>
      <c r="Q184" s="300"/>
      <c r="R184" s="300"/>
      <c r="S184" s="300"/>
      <c r="T184" s="301"/>
      <c r="U184" s="301"/>
      <c r="V184" s="301"/>
      <c r="W184" s="301"/>
      <c r="X184" s="301"/>
      <c r="Y184" s="301"/>
      <c r="Z184" s="301"/>
      <c r="AA184" s="301"/>
      <c r="AB184" s="293"/>
      <c r="AC184" s="293"/>
      <c r="AD184" s="301"/>
      <c r="AE184" s="301"/>
      <c r="AF184" s="301"/>
      <c r="AG184" s="301"/>
      <c r="AP184" s="301"/>
      <c r="AQ184" s="301"/>
      <c r="AR184" s="301"/>
      <c r="BG184" s="299"/>
      <c r="BP184" s="301"/>
      <c r="BQ184" s="301"/>
      <c r="BR184" s="301"/>
      <c r="BS184" s="301"/>
      <c r="BT184" s="301"/>
    </row>
    <row r="185" spans="2:72" s="302" customFormat="1" x14ac:dyDescent="0.2">
      <c r="B185" s="292"/>
      <c r="C185" s="305"/>
      <c r="E185" s="301"/>
      <c r="F185" s="301"/>
      <c r="G185" s="301"/>
      <c r="H185" s="301"/>
      <c r="I185" s="301"/>
      <c r="J185" s="296"/>
      <c r="K185" s="297"/>
      <c r="L185" s="298"/>
      <c r="M185" s="297"/>
      <c r="N185" s="297"/>
      <c r="O185" s="299"/>
      <c r="P185" s="300"/>
      <c r="Q185" s="300"/>
      <c r="R185" s="300"/>
      <c r="S185" s="300"/>
      <c r="T185" s="301"/>
      <c r="U185" s="301"/>
      <c r="V185" s="301"/>
      <c r="W185" s="301"/>
      <c r="X185" s="301"/>
      <c r="Y185" s="301"/>
      <c r="Z185" s="301"/>
      <c r="AA185" s="301"/>
      <c r="AB185" s="293"/>
      <c r="AC185" s="293"/>
      <c r="AD185" s="301"/>
      <c r="AE185" s="301"/>
      <c r="AF185" s="301"/>
      <c r="AG185" s="301"/>
      <c r="AP185" s="301"/>
      <c r="AQ185" s="301"/>
      <c r="AR185" s="301"/>
      <c r="BG185" s="299"/>
      <c r="BP185" s="301"/>
      <c r="BQ185" s="301"/>
      <c r="BR185" s="301"/>
      <c r="BS185" s="301"/>
      <c r="BT185" s="301"/>
    </row>
    <row r="186" spans="2:72" s="302" customFormat="1" x14ac:dyDescent="0.2">
      <c r="B186" s="292"/>
      <c r="C186" s="305"/>
      <c r="E186" s="301"/>
      <c r="F186" s="301"/>
      <c r="G186" s="301"/>
      <c r="H186" s="301"/>
      <c r="I186" s="301"/>
      <c r="J186" s="296"/>
      <c r="K186" s="297"/>
      <c r="L186" s="298"/>
      <c r="M186" s="297"/>
      <c r="N186" s="297"/>
      <c r="O186" s="299"/>
      <c r="P186" s="300"/>
      <c r="Q186" s="300"/>
      <c r="R186" s="300"/>
      <c r="S186" s="300"/>
      <c r="T186" s="301"/>
      <c r="U186" s="301"/>
      <c r="V186" s="301"/>
      <c r="W186" s="301"/>
      <c r="X186" s="301"/>
      <c r="Y186" s="301"/>
      <c r="Z186" s="301"/>
      <c r="AA186" s="301"/>
      <c r="AB186" s="293"/>
      <c r="AC186" s="293"/>
      <c r="AD186" s="301"/>
      <c r="AE186" s="301"/>
      <c r="AF186" s="301"/>
      <c r="AG186" s="301"/>
      <c r="AP186" s="301"/>
      <c r="AQ186" s="301"/>
      <c r="AR186" s="301"/>
      <c r="BG186" s="299"/>
      <c r="BP186" s="301"/>
      <c r="BQ186" s="301"/>
      <c r="BR186" s="301"/>
      <c r="BS186" s="301"/>
      <c r="BT186" s="301"/>
    </row>
    <row r="187" spans="2:72" s="302" customFormat="1" x14ac:dyDescent="0.2">
      <c r="B187" s="292"/>
      <c r="C187" s="305"/>
      <c r="E187" s="301"/>
      <c r="F187" s="301"/>
      <c r="G187" s="301"/>
      <c r="H187" s="301"/>
      <c r="I187" s="301"/>
      <c r="J187" s="296"/>
      <c r="K187" s="297"/>
      <c r="L187" s="298"/>
      <c r="M187" s="297"/>
      <c r="N187" s="297"/>
      <c r="O187" s="299"/>
      <c r="P187" s="300"/>
      <c r="Q187" s="300"/>
      <c r="R187" s="300"/>
      <c r="S187" s="300"/>
      <c r="T187" s="301"/>
      <c r="U187" s="301"/>
      <c r="V187" s="301"/>
      <c r="W187" s="301"/>
      <c r="X187" s="301"/>
      <c r="Y187" s="301"/>
      <c r="Z187" s="301"/>
      <c r="AA187" s="301"/>
      <c r="AB187" s="293"/>
      <c r="AC187" s="293"/>
      <c r="AD187" s="301"/>
      <c r="AE187" s="301"/>
      <c r="AF187" s="301"/>
      <c r="AG187" s="301"/>
      <c r="AP187" s="301"/>
      <c r="AQ187" s="301"/>
      <c r="AR187" s="301"/>
      <c r="BG187" s="299"/>
      <c r="BP187" s="301"/>
      <c r="BQ187" s="301"/>
      <c r="BR187" s="301"/>
      <c r="BS187" s="301"/>
      <c r="BT187" s="301"/>
    </row>
    <row r="188" spans="2:72" s="302" customFormat="1" x14ac:dyDescent="0.2">
      <c r="B188" s="292"/>
      <c r="C188" s="305"/>
      <c r="E188" s="301"/>
      <c r="F188" s="301"/>
      <c r="G188" s="301"/>
      <c r="H188" s="301"/>
      <c r="I188" s="301"/>
      <c r="J188" s="296"/>
      <c r="K188" s="297"/>
      <c r="L188" s="298"/>
      <c r="M188" s="297"/>
      <c r="N188" s="297"/>
      <c r="O188" s="299"/>
      <c r="P188" s="300"/>
      <c r="Q188" s="300"/>
      <c r="R188" s="300"/>
      <c r="S188" s="300"/>
      <c r="T188" s="301"/>
      <c r="U188" s="301"/>
      <c r="V188" s="301"/>
      <c r="W188" s="301"/>
      <c r="X188" s="301"/>
      <c r="Y188" s="301"/>
      <c r="Z188" s="301"/>
      <c r="AA188" s="301"/>
      <c r="AB188" s="293"/>
      <c r="AC188" s="293"/>
      <c r="AD188" s="301"/>
      <c r="AE188" s="301"/>
      <c r="AF188" s="301"/>
      <c r="AG188" s="301"/>
      <c r="AP188" s="301"/>
      <c r="AQ188" s="301"/>
      <c r="AR188" s="301"/>
      <c r="BG188" s="299"/>
      <c r="BP188" s="301"/>
      <c r="BQ188" s="301"/>
      <c r="BR188" s="301"/>
      <c r="BS188" s="301"/>
      <c r="BT188" s="301"/>
    </row>
    <row r="189" spans="2:72" s="302" customFormat="1" x14ac:dyDescent="0.2">
      <c r="B189" s="292"/>
      <c r="C189" s="305"/>
      <c r="E189" s="301"/>
      <c r="F189" s="301"/>
      <c r="G189" s="301"/>
      <c r="H189" s="301"/>
      <c r="I189" s="301"/>
      <c r="J189" s="296"/>
      <c r="K189" s="297"/>
      <c r="L189" s="298"/>
      <c r="M189" s="297"/>
      <c r="N189" s="297"/>
      <c r="O189" s="299"/>
      <c r="P189" s="300"/>
      <c r="Q189" s="300"/>
      <c r="R189" s="300"/>
      <c r="S189" s="300"/>
      <c r="T189" s="301"/>
      <c r="U189" s="301"/>
      <c r="V189" s="301"/>
      <c r="W189" s="301"/>
      <c r="X189" s="301"/>
      <c r="Y189" s="301"/>
      <c r="Z189" s="301"/>
      <c r="AA189" s="301"/>
      <c r="AB189" s="293"/>
      <c r="AC189" s="293"/>
      <c r="AD189" s="301"/>
      <c r="AE189" s="301"/>
      <c r="AF189" s="301"/>
      <c r="AG189" s="301"/>
      <c r="AP189" s="301"/>
      <c r="AQ189" s="301"/>
      <c r="AR189" s="301"/>
      <c r="BG189" s="299"/>
      <c r="BP189" s="301"/>
      <c r="BQ189" s="301"/>
      <c r="BR189" s="301"/>
      <c r="BS189" s="301"/>
      <c r="BT189" s="301"/>
    </row>
    <row r="190" spans="2:72" s="302" customFormat="1" x14ac:dyDescent="0.2">
      <c r="B190" s="292"/>
      <c r="C190" s="305"/>
      <c r="E190" s="301"/>
      <c r="F190" s="301"/>
      <c r="G190" s="301"/>
      <c r="H190" s="301"/>
      <c r="I190" s="301"/>
      <c r="J190" s="296"/>
      <c r="K190" s="297"/>
      <c r="L190" s="298"/>
      <c r="M190" s="297"/>
      <c r="N190" s="297"/>
      <c r="O190" s="299"/>
      <c r="P190" s="300"/>
      <c r="Q190" s="300"/>
      <c r="R190" s="300"/>
      <c r="S190" s="300"/>
      <c r="T190" s="301"/>
      <c r="U190" s="301"/>
      <c r="V190" s="301"/>
      <c r="W190" s="301"/>
      <c r="X190" s="301"/>
      <c r="Y190" s="301"/>
      <c r="Z190" s="301"/>
      <c r="AA190" s="301"/>
      <c r="AB190" s="293"/>
      <c r="AC190" s="293"/>
      <c r="AD190" s="301"/>
      <c r="AE190" s="301"/>
      <c r="AF190" s="301"/>
      <c r="AG190" s="301"/>
      <c r="AP190" s="301"/>
      <c r="AQ190" s="301"/>
      <c r="AR190" s="301"/>
      <c r="BG190" s="299"/>
      <c r="BP190" s="301"/>
      <c r="BQ190" s="301"/>
      <c r="BR190" s="301"/>
      <c r="BS190" s="301"/>
      <c r="BT190" s="301"/>
    </row>
    <row r="191" spans="2:72" s="302" customFormat="1" x14ac:dyDescent="0.2">
      <c r="B191" s="292"/>
      <c r="C191" s="305"/>
      <c r="E191" s="301"/>
      <c r="F191" s="301"/>
      <c r="G191" s="301"/>
      <c r="H191" s="301"/>
      <c r="I191" s="301"/>
      <c r="J191" s="296"/>
      <c r="K191" s="297"/>
      <c r="L191" s="298"/>
      <c r="M191" s="297"/>
      <c r="N191" s="297"/>
      <c r="O191" s="299"/>
      <c r="P191" s="300"/>
      <c r="Q191" s="300"/>
      <c r="R191" s="300"/>
      <c r="S191" s="300"/>
      <c r="T191" s="301"/>
      <c r="U191" s="301"/>
      <c r="V191" s="301"/>
      <c r="W191" s="301"/>
      <c r="X191" s="301"/>
      <c r="Y191" s="301"/>
      <c r="Z191" s="301"/>
      <c r="AA191" s="301"/>
      <c r="AB191" s="293"/>
      <c r="AC191" s="293"/>
      <c r="AD191" s="301"/>
      <c r="AE191" s="301"/>
      <c r="AF191" s="301"/>
      <c r="AG191" s="301"/>
      <c r="AP191" s="301"/>
      <c r="AQ191" s="301"/>
      <c r="AR191" s="301"/>
      <c r="BG191" s="299"/>
      <c r="BP191" s="301"/>
      <c r="BQ191" s="301"/>
      <c r="BR191" s="301"/>
      <c r="BS191" s="301"/>
      <c r="BT191" s="301"/>
    </row>
    <row r="192" spans="2:72" s="302" customFormat="1" x14ac:dyDescent="0.2">
      <c r="B192" s="292"/>
      <c r="C192" s="305"/>
      <c r="E192" s="301"/>
      <c r="F192" s="301"/>
      <c r="G192" s="301"/>
      <c r="H192" s="301"/>
      <c r="I192" s="301"/>
      <c r="J192" s="296"/>
      <c r="K192" s="297"/>
      <c r="L192" s="298"/>
      <c r="M192" s="297"/>
      <c r="N192" s="297"/>
      <c r="O192" s="299"/>
      <c r="P192" s="300"/>
      <c r="Q192" s="300"/>
      <c r="R192" s="300"/>
      <c r="S192" s="300"/>
      <c r="T192" s="301"/>
      <c r="U192" s="301"/>
      <c r="V192" s="301"/>
      <c r="W192" s="301"/>
      <c r="X192" s="301"/>
      <c r="Y192" s="301"/>
      <c r="Z192" s="301"/>
      <c r="AA192" s="301"/>
      <c r="AB192" s="293"/>
      <c r="AC192" s="293"/>
      <c r="AD192" s="301"/>
      <c r="AE192" s="301"/>
      <c r="AF192" s="301"/>
      <c r="AG192" s="301"/>
      <c r="AP192" s="301"/>
      <c r="AQ192" s="301"/>
      <c r="AR192" s="301"/>
      <c r="BG192" s="299"/>
      <c r="BP192" s="301"/>
      <c r="BQ192" s="301"/>
      <c r="BR192" s="301"/>
      <c r="BS192" s="301"/>
      <c r="BT192" s="301"/>
    </row>
    <row r="193" spans="2:72" s="302" customFormat="1" x14ac:dyDescent="0.2">
      <c r="B193" s="292"/>
      <c r="C193" s="305"/>
      <c r="E193" s="301"/>
      <c r="F193" s="301"/>
      <c r="G193" s="301"/>
      <c r="H193" s="301"/>
      <c r="I193" s="301"/>
      <c r="J193" s="296"/>
      <c r="K193" s="297"/>
      <c r="L193" s="298"/>
      <c r="M193" s="297"/>
      <c r="N193" s="297"/>
      <c r="O193" s="299"/>
      <c r="P193" s="300"/>
      <c r="Q193" s="300"/>
      <c r="R193" s="300"/>
      <c r="S193" s="300"/>
      <c r="T193" s="301"/>
      <c r="U193" s="301"/>
      <c r="V193" s="301"/>
      <c r="W193" s="301"/>
      <c r="X193" s="301"/>
      <c r="Y193" s="301"/>
      <c r="Z193" s="301"/>
      <c r="AA193" s="301"/>
      <c r="AB193" s="293"/>
      <c r="AC193" s="293"/>
      <c r="AD193" s="301"/>
      <c r="AE193" s="301"/>
      <c r="AF193" s="301"/>
      <c r="AG193" s="301"/>
      <c r="AP193" s="301"/>
      <c r="AQ193" s="301"/>
      <c r="AR193" s="301"/>
      <c r="BG193" s="299"/>
      <c r="BP193" s="301"/>
      <c r="BQ193" s="301"/>
      <c r="BR193" s="301"/>
      <c r="BS193" s="301"/>
      <c r="BT193" s="301"/>
    </row>
    <row r="194" spans="2:72" s="302" customFormat="1" x14ac:dyDescent="0.2">
      <c r="B194" s="292"/>
      <c r="C194" s="305"/>
      <c r="E194" s="301"/>
      <c r="F194" s="301"/>
      <c r="G194" s="301"/>
      <c r="H194" s="301"/>
      <c r="I194" s="301"/>
      <c r="J194" s="296"/>
      <c r="K194" s="297"/>
      <c r="L194" s="298"/>
      <c r="M194" s="297"/>
      <c r="N194" s="297"/>
      <c r="O194" s="299"/>
      <c r="P194" s="300"/>
      <c r="Q194" s="300"/>
      <c r="R194" s="300"/>
      <c r="S194" s="300"/>
      <c r="T194" s="301"/>
      <c r="U194" s="301"/>
      <c r="V194" s="301"/>
      <c r="W194" s="301"/>
      <c r="X194" s="301"/>
      <c r="Y194" s="301"/>
      <c r="Z194" s="301"/>
      <c r="AA194" s="301"/>
      <c r="AB194" s="293"/>
      <c r="AC194" s="293"/>
      <c r="AD194" s="301"/>
      <c r="AE194" s="301"/>
      <c r="AF194" s="301"/>
      <c r="AG194" s="301"/>
      <c r="AP194" s="301"/>
      <c r="AQ194" s="301"/>
      <c r="AR194" s="301"/>
      <c r="BG194" s="299"/>
      <c r="BP194" s="301"/>
      <c r="BQ194" s="301"/>
      <c r="BR194" s="301"/>
      <c r="BS194" s="301"/>
      <c r="BT194" s="301"/>
    </row>
    <row r="195" spans="2:72" s="302" customFormat="1" x14ac:dyDescent="0.2">
      <c r="B195" s="292"/>
      <c r="C195" s="305"/>
      <c r="E195" s="301"/>
      <c r="F195" s="301"/>
      <c r="G195" s="301"/>
      <c r="H195" s="301"/>
      <c r="I195" s="301"/>
      <c r="J195" s="296"/>
      <c r="K195" s="297"/>
      <c r="L195" s="298"/>
      <c r="M195" s="297"/>
      <c r="N195" s="297"/>
      <c r="O195" s="299"/>
      <c r="P195" s="300"/>
      <c r="Q195" s="300"/>
      <c r="R195" s="300"/>
      <c r="S195" s="300"/>
      <c r="T195" s="301"/>
      <c r="U195" s="301"/>
      <c r="V195" s="301"/>
      <c r="W195" s="301"/>
      <c r="X195" s="301"/>
      <c r="Y195" s="301"/>
      <c r="Z195" s="301"/>
      <c r="AA195" s="301"/>
      <c r="AB195" s="293"/>
      <c r="AC195" s="293"/>
      <c r="AD195" s="301"/>
      <c r="AE195" s="301"/>
      <c r="AF195" s="301"/>
      <c r="AG195" s="301"/>
      <c r="AP195" s="301"/>
      <c r="AQ195" s="301"/>
      <c r="AR195" s="301"/>
      <c r="BG195" s="299"/>
      <c r="BP195" s="301"/>
      <c r="BQ195" s="301"/>
      <c r="BR195" s="301"/>
      <c r="BS195" s="301"/>
      <c r="BT195" s="301"/>
    </row>
    <row r="196" spans="2:72" s="302" customFormat="1" x14ac:dyDescent="0.2">
      <c r="B196" s="292"/>
      <c r="C196" s="305"/>
      <c r="E196" s="301"/>
      <c r="F196" s="301"/>
      <c r="G196" s="301"/>
      <c r="H196" s="301"/>
      <c r="I196" s="301"/>
      <c r="J196" s="296"/>
      <c r="K196" s="297"/>
      <c r="L196" s="298"/>
      <c r="M196" s="297"/>
      <c r="N196" s="297"/>
      <c r="O196" s="299"/>
      <c r="P196" s="300"/>
      <c r="Q196" s="300"/>
      <c r="R196" s="300"/>
      <c r="S196" s="300"/>
      <c r="T196" s="301"/>
      <c r="U196" s="301"/>
      <c r="V196" s="301"/>
      <c r="W196" s="301"/>
      <c r="X196" s="301"/>
      <c r="Y196" s="301"/>
      <c r="Z196" s="301"/>
      <c r="AA196" s="301"/>
      <c r="AB196" s="293"/>
      <c r="AC196" s="293"/>
      <c r="AD196" s="301"/>
      <c r="AE196" s="301"/>
      <c r="AF196" s="301"/>
      <c r="AG196" s="301"/>
      <c r="AP196" s="301"/>
      <c r="AQ196" s="301"/>
      <c r="AR196" s="301"/>
      <c r="BG196" s="299"/>
      <c r="BP196" s="301"/>
      <c r="BQ196" s="301"/>
      <c r="BR196" s="301"/>
      <c r="BS196" s="301"/>
      <c r="BT196" s="301"/>
    </row>
    <row r="197" spans="2:72" s="302" customFormat="1" x14ac:dyDescent="0.2">
      <c r="B197" s="292"/>
      <c r="C197" s="305"/>
      <c r="E197" s="301"/>
      <c r="F197" s="301"/>
      <c r="G197" s="301"/>
      <c r="H197" s="301"/>
      <c r="I197" s="301"/>
      <c r="J197" s="296"/>
      <c r="K197" s="297"/>
      <c r="L197" s="298"/>
      <c r="M197" s="297"/>
      <c r="N197" s="297"/>
      <c r="O197" s="299"/>
      <c r="P197" s="300"/>
      <c r="Q197" s="300"/>
      <c r="R197" s="300"/>
      <c r="S197" s="300"/>
      <c r="T197" s="301"/>
      <c r="U197" s="301"/>
      <c r="V197" s="301"/>
      <c r="W197" s="301"/>
      <c r="X197" s="301"/>
      <c r="Y197" s="301"/>
      <c r="Z197" s="301"/>
      <c r="AA197" s="301"/>
      <c r="AB197" s="293"/>
      <c r="AC197" s="293"/>
      <c r="AD197" s="301"/>
      <c r="AE197" s="301"/>
      <c r="AF197" s="301"/>
      <c r="AG197" s="301"/>
      <c r="AP197" s="301"/>
      <c r="AQ197" s="301"/>
      <c r="AR197" s="301"/>
      <c r="BG197" s="299"/>
      <c r="BP197" s="301"/>
      <c r="BQ197" s="301"/>
      <c r="BR197" s="301"/>
      <c r="BS197" s="301"/>
      <c r="BT197" s="301"/>
    </row>
    <row r="198" spans="2:72" s="302" customFormat="1" x14ac:dyDescent="0.2">
      <c r="B198" s="292"/>
      <c r="C198" s="305"/>
      <c r="E198" s="301"/>
      <c r="F198" s="301"/>
      <c r="G198" s="301"/>
      <c r="H198" s="301"/>
      <c r="I198" s="301"/>
      <c r="J198" s="296"/>
      <c r="K198" s="297"/>
      <c r="L198" s="298"/>
      <c r="M198" s="297"/>
      <c r="N198" s="297"/>
      <c r="O198" s="299"/>
      <c r="P198" s="300"/>
      <c r="Q198" s="300"/>
      <c r="R198" s="300"/>
      <c r="S198" s="300"/>
      <c r="T198" s="301"/>
      <c r="U198" s="301"/>
      <c r="V198" s="301"/>
      <c r="W198" s="301"/>
      <c r="X198" s="301"/>
      <c r="Y198" s="301"/>
      <c r="Z198" s="301"/>
      <c r="AA198" s="301"/>
      <c r="AB198" s="293"/>
      <c r="AC198" s="293"/>
      <c r="AD198" s="301"/>
      <c r="AE198" s="301"/>
      <c r="AF198" s="301"/>
      <c r="AG198" s="301"/>
      <c r="AP198" s="301"/>
      <c r="AQ198" s="301"/>
      <c r="AR198" s="301"/>
      <c r="BG198" s="299"/>
      <c r="BP198" s="301"/>
      <c r="BQ198" s="301"/>
      <c r="BR198" s="301"/>
      <c r="BS198" s="301"/>
      <c r="BT198" s="301"/>
    </row>
    <row r="199" spans="2:72" s="302" customFormat="1" x14ac:dyDescent="0.2">
      <c r="B199" s="292"/>
      <c r="C199" s="305"/>
      <c r="E199" s="301"/>
      <c r="F199" s="301"/>
      <c r="G199" s="301"/>
      <c r="H199" s="301"/>
      <c r="I199" s="301"/>
      <c r="J199" s="296"/>
      <c r="K199" s="297"/>
      <c r="L199" s="298"/>
      <c r="M199" s="297"/>
      <c r="N199" s="297"/>
      <c r="O199" s="299"/>
      <c r="P199" s="300"/>
      <c r="Q199" s="300"/>
      <c r="R199" s="300"/>
      <c r="S199" s="300"/>
      <c r="T199" s="301"/>
      <c r="U199" s="301"/>
      <c r="V199" s="301"/>
      <c r="W199" s="301"/>
      <c r="X199" s="301"/>
      <c r="Y199" s="301"/>
      <c r="Z199" s="301"/>
      <c r="AA199" s="301"/>
      <c r="AB199" s="293"/>
      <c r="AC199" s="293"/>
      <c r="AD199" s="301"/>
      <c r="AE199" s="301"/>
      <c r="AF199" s="301"/>
      <c r="AG199" s="301"/>
      <c r="AP199" s="301"/>
      <c r="AQ199" s="301"/>
      <c r="AR199" s="301"/>
      <c r="BG199" s="299"/>
      <c r="BP199" s="301"/>
      <c r="BQ199" s="301"/>
      <c r="BR199" s="301"/>
      <c r="BS199" s="301"/>
      <c r="BT199" s="301"/>
    </row>
    <row r="200" spans="2:72" s="302" customFormat="1" x14ac:dyDescent="0.2">
      <c r="B200" s="292"/>
      <c r="C200" s="305"/>
      <c r="E200" s="301"/>
      <c r="F200" s="301"/>
      <c r="G200" s="301"/>
      <c r="H200" s="301"/>
      <c r="I200" s="301"/>
      <c r="J200" s="296"/>
      <c r="K200" s="297"/>
      <c r="L200" s="298"/>
      <c r="M200" s="297"/>
      <c r="N200" s="297"/>
      <c r="O200" s="299"/>
      <c r="P200" s="300"/>
      <c r="Q200" s="300"/>
      <c r="R200" s="300"/>
      <c r="S200" s="300"/>
      <c r="T200" s="301"/>
      <c r="U200" s="301"/>
      <c r="V200" s="301"/>
      <c r="W200" s="301"/>
      <c r="X200" s="301"/>
      <c r="Y200" s="301"/>
      <c r="Z200" s="301"/>
      <c r="AA200" s="301"/>
      <c r="AB200" s="293"/>
      <c r="AC200" s="293"/>
      <c r="AD200" s="301"/>
      <c r="AE200" s="301"/>
      <c r="AF200" s="301"/>
      <c r="AG200" s="301"/>
      <c r="AP200" s="301"/>
      <c r="AQ200" s="301"/>
      <c r="AR200" s="301"/>
      <c r="BP200" s="301"/>
      <c r="BQ200" s="301"/>
      <c r="BR200" s="301"/>
      <c r="BS200" s="301"/>
      <c r="BT200" s="301"/>
    </row>
    <row r="201" spans="2:72" s="302" customFormat="1" x14ac:dyDescent="0.2">
      <c r="B201" s="292"/>
      <c r="C201" s="305"/>
      <c r="E201" s="301"/>
      <c r="F201" s="301"/>
      <c r="G201" s="301"/>
      <c r="H201" s="301"/>
      <c r="I201" s="301"/>
      <c r="J201" s="301"/>
      <c r="K201" s="301"/>
      <c r="L201" s="301"/>
      <c r="M201" s="301"/>
      <c r="N201" s="301"/>
      <c r="O201" s="301"/>
      <c r="P201" s="301"/>
      <c r="Q201" s="301"/>
      <c r="R201" s="301"/>
      <c r="S201" s="301"/>
      <c r="T201" s="301"/>
      <c r="U201" s="301"/>
      <c r="V201" s="301"/>
      <c r="W201" s="301"/>
      <c r="X201" s="301"/>
      <c r="Y201" s="301"/>
      <c r="Z201" s="301"/>
      <c r="AA201" s="301"/>
      <c r="AB201" s="301"/>
      <c r="AC201" s="301"/>
      <c r="AD201" s="301"/>
      <c r="AE201" s="301"/>
      <c r="AF201" s="301"/>
      <c r="AG201" s="301"/>
      <c r="AP201" s="301"/>
      <c r="AQ201" s="301"/>
      <c r="AR201" s="301"/>
      <c r="BP201" s="301"/>
      <c r="BQ201" s="301"/>
      <c r="BR201" s="301"/>
      <c r="BS201" s="301"/>
      <c r="BT201" s="301"/>
    </row>
    <row r="202" spans="2:72" s="302" customFormat="1" x14ac:dyDescent="0.2">
      <c r="B202" s="292"/>
      <c r="C202" s="305"/>
      <c r="E202" s="301"/>
      <c r="F202" s="301"/>
      <c r="G202" s="301"/>
      <c r="H202" s="301"/>
      <c r="I202" s="301"/>
      <c r="J202" s="301"/>
      <c r="K202" s="301"/>
      <c r="L202" s="301"/>
      <c r="M202" s="301"/>
      <c r="N202" s="301"/>
      <c r="O202" s="301"/>
      <c r="P202" s="301"/>
      <c r="Q202" s="301"/>
      <c r="R202" s="301"/>
      <c r="S202" s="301"/>
      <c r="T202" s="301"/>
      <c r="U202" s="301"/>
      <c r="V202" s="301"/>
      <c r="W202" s="301"/>
      <c r="X202" s="301"/>
      <c r="Y202" s="301"/>
      <c r="Z202" s="301"/>
      <c r="AA202" s="301"/>
      <c r="AB202" s="301"/>
      <c r="AC202" s="301"/>
      <c r="AD202" s="301"/>
      <c r="AE202" s="301"/>
      <c r="AF202" s="301"/>
      <c r="AG202" s="301"/>
      <c r="AP202" s="301"/>
      <c r="AQ202" s="301"/>
      <c r="AR202" s="301"/>
      <c r="BP202" s="301"/>
      <c r="BQ202" s="301"/>
      <c r="BR202" s="301"/>
      <c r="BS202" s="301"/>
      <c r="BT202" s="301"/>
    </row>
    <row r="203" spans="2:72" s="302" customFormat="1" x14ac:dyDescent="0.2">
      <c r="B203" s="306"/>
      <c r="D203" s="301"/>
      <c r="E203" s="301"/>
      <c r="F203" s="301"/>
      <c r="G203" s="301"/>
      <c r="H203" s="301"/>
      <c r="I203" s="301"/>
      <c r="J203" s="301"/>
      <c r="K203" s="301"/>
      <c r="L203" s="301"/>
      <c r="M203" s="301"/>
      <c r="N203" s="301"/>
      <c r="O203" s="301"/>
      <c r="P203" s="301"/>
      <c r="Q203" s="301"/>
      <c r="R203" s="301"/>
      <c r="S203" s="301"/>
      <c r="T203" s="301"/>
      <c r="U203" s="301"/>
      <c r="V203" s="301"/>
      <c r="W203" s="301"/>
      <c r="X203" s="301"/>
      <c r="Y203" s="301"/>
      <c r="Z203" s="301"/>
      <c r="AA203" s="301"/>
      <c r="AB203" s="301"/>
      <c r="AC203" s="301"/>
      <c r="AD203" s="301"/>
      <c r="AE203" s="301"/>
      <c r="AF203" s="301"/>
      <c r="AG203" s="301"/>
      <c r="AO203" s="301"/>
      <c r="AP203" s="301"/>
      <c r="AQ203" s="301"/>
      <c r="BO203" s="301"/>
      <c r="BP203" s="301"/>
      <c r="BQ203" s="301"/>
      <c r="BR203" s="301"/>
      <c r="BS203" s="301"/>
    </row>
    <row r="204" spans="2:72" s="302" customFormat="1" x14ac:dyDescent="0.2">
      <c r="B204" s="306"/>
      <c r="D204" s="301"/>
      <c r="E204" s="301"/>
      <c r="F204" s="301"/>
      <c r="G204" s="301"/>
      <c r="H204" s="301"/>
      <c r="I204" s="301"/>
      <c r="J204" s="301"/>
      <c r="K204" s="301"/>
      <c r="L204" s="301"/>
      <c r="M204" s="301"/>
      <c r="N204" s="301"/>
      <c r="O204" s="301"/>
      <c r="P204" s="301"/>
      <c r="Q204" s="301"/>
      <c r="R204" s="301"/>
      <c r="S204" s="301"/>
      <c r="T204" s="301"/>
      <c r="U204" s="301"/>
      <c r="V204" s="301"/>
      <c r="W204" s="301"/>
      <c r="X204" s="301"/>
      <c r="Y204" s="301"/>
      <c r="Z204" s="301"/>
      <c r="AA204" s="301"/>
      <c r="AB204" s="301"/>
      <c r="AC204" s="301"/>
      <c r="AD204" s="301"/>
      <c r="AE204" s="301"/>
      <c r="AF204" s="301"/>
      <c r="AG204" s="301"/>
      <c r="AO204" s="301"/>
      <c r="AP204" s="301"/>
      <c r="AQ204" s="301"/>
      <c r="BO204" s="301"/>
      <c r="BP204" s="301"/>
      <c r="BQ204" s="301"/>
      <c r="BR204" s="301"/>
      <c r="BS204" s="301"/>
    </row>
    <row r="205" spans="2:72" s="302" customFormat="1" x14ac:dyDescent="0.2">
      <c r="B205" s="306"/>
      <c r="D205" s="301"/>
      <c r="E205" s="301"/>
      <c r="F205" s="301"/>
      <c r="G205" s="301"/>
      <c r="H205" s="301"/>
      <c r="I205" s="301"/>
      <c r="J205" s="301"/>
      <c r="K205" s="301"/>
      <c r="L205" s="301"/>
      <c r="M205" s="301"/>
      <c r="N205" s="301"/>
      <c r="O205" s="301"/>
      <c r="P205" s="301"/>
      <c r="Q205" s="301"/>
      <c r="R205" s="301"/>
      <c r="S205" s="301"/>
      <c r="T205" s="301"/>
      <c r="U205" s="301"/>
      <c r="V205" s="301"/>
      <c r="W205" s="301"/>
      <c r="X205" s="301"/>
      <c r="Y205" s="301"/>
      <c r="Z205" s="301"/>
      <c r="AA205" s="301"/>
      <c r="AB205" s="301"/>
      <c r="AC205" s="301"/>
      <c r="AD205" s="301"/>
      <c r="AE205" s="301"/>
      <c r="AF205" s="301"/>
      <c r="AG205" s="301"/>
      <c r="AO205" s="301"/>
      <c r="AP205" s="301"/>
      <c r="AQ205" s="301"/>
      <c r="BO205" s="301"/>
      <c r="BP205" s="301"/>
      <c r="BQ205" s="301"/>
      <c r="BR205" s="301"/>
      <c r="BS205" s="301"/>
    </row>
    <row r="206" spans="2:72" s="302" customFormat="1" x14ac:dyDescent="0.2">
      <c r="B206" s="306"/>
      <c r="D206" s="301"/>
      <c r="E206" s="301"/>
      <c r="F206" s="301"/>
      <c r="G206" s="301"/>
      <c r="H206" s="301"/>
      <c r="I206" s="301"/>
      <c r="J206" s="301"/>
      <c r="K206" s="301"/>
      <c r="L206" s="301"/>
      <c r="M206" s="301"/>
      <c r="N206" s="301"/>
      <c r="O206" s="301"/>
      <c r="P206" s="301"/>
      <c r="Q206" s="301"/>
      <c r="R206" s="301"/>
      <c r="S206" s="301"/>
      <c r="T206" s="301"/>
      <c r="U206" s="301"/>
      <c r="V206" s="301"/>
      <c r="W206" s="301"/>
      <c r="X206" s="301"/>
      <c r="Y206" s="301"/>
      <c r="Z206" s="301"/>
      <c r="AA206" s="301"/>
      <c r="AB206" s="301"/>
      <c r="AC206" s="301"/>
      <c r="AD206" s="301"/>
      <c r="AE206" s="301"/>
      <c r="AF206" s="301"/>
      <c r="AG206" s="301"/>
      <c r="AO206" s="301"/>
      <c r="AP206" s="301"/>
      <c r="AQ206" s="301"/>
      <c r="BO206" s="301"/>
      <c r="BP206" s="301"/>
      <c r="BQ206" s="301"/>
      <c r="BR206" s="301"/>
      <c r="BS206" s="301"/>
    </row>
    <row r="207" spans="2:72" s="302" customFormat="1" x14ac:dyDescent="0.2">
      <c r="B207" s="306"/>
      <c r="D207" s="301"/>
      <c r="E207" s="301"/>
      <c r="F207" s="301"/>
      <c r="G207" s="301"/>
      <c r="H207" s="301"/>
      <c r="I207" s="301"/>
      <c r="J207" s="301"/>
      <c r="K207" s="301"/>
      <c r="L207" s="301"/>
      <c r="M207" s="301"/>
      <c r="N207" s="301"/>
      <c r="O207" s="301"/>
      <c r="P207" s="301"/>
      <c r="Q207" s="301"/>
      <c r="R207" s="301"/>
      <c r="S207" s="301"/>
      <c r="T207" s="301"/>
      <c r="U207" s="301"/>
      <c r="V207" s="301"/>
      <c r="W207" s="301"/>
      <c r="X207" s="301"/>
      <c r="Y207" s="301"/>
      <c r="Z207" s="301"/>
      <c r="AA207" s="301"/>
      <c r="AB207" s="301"/>
      <c r="AC207" s="301"/>
      <c r="AD207" s="301"/>
      <c r="AE207" s="301"/>
      <c r="AF207" s="301"/>
      <c r="AG207" s="301"/>
      <c r="AO207" s="301"/>
      <c r="AP207" s="301"/>
      <c r="AQ207" s="301"/>
      <c r="BO207" s="301"/>
      <c r="BP207" s="301"/>
      <c r="BQ207" s="301"/>
      <c r="BR207" s="301"/>
      <c r="BS207" s="301"/>
    </row>
    <row r="208" spans="2:72" s="302" customFormat="1" x14ac:dyDescent="0.2">
      <c r="B208" s="306"/>
      <c r="D208" s="301"/>
      <c r="E208" s="301"/>
      <c r="F208" s="301"/>
      <c r="G208" s="301"/>
      <c r="H208" s="301"/>
      <c r="I208" s="301"/>
      <c r="J208" s="301"/>
      <c r="K208" s="301"/>
      <c r="L208" s="301"/>
      <c r="M208" s="301"/>
      <c r="N208" s="301"/>
      <c r="O208" s="301"/>
      <c r="P208" s="301"/>
      <c r="Q208" s="301"/>
      <c r="R208" s="301"/>
      <c r="S208" s="301"/>
      <c r="T208" s="301"/>
      <c r="U208" s="301"/>
      <c r="V208" s="301"/>
      <c r="W208" s="301"/>
      <c r="X208" s="301"/>
      <c r="Y208" s="301"/>
      <c r="Z208" s="301"/>
      <c r="AA208" s="301"/>
      <c r="AB208" s="301"/>
      <c r="AC208" s="301"/>
      <c r="AD208" s="301"/>
      <c r="AE208" s="301"/>
      <c r="AF208" s="301"/>
      <c r="AG208" s="301"/>
      <c r="AO208" s="301"/>
      <c r="AP208" s="301"/>
      <c r="AQ208" s="301"/>
      <c r="BO208" s="301"/>
      <c r="BP208" s="301"/>
      <c r="BQ208" s="301"/>
      <c r="BR208" s="301"/>
      <c r="BS208" s="301"/>
    </row>
    <row r="209" spans="2:71" s="302" customFormat="1" x14ac:dyDescent="0.2">
      <c r="B209" s="306"/>
      <c r="D209" s="301"/>
      <c r="E209" s="301"/>
      <c r="F209" s="301"/>
      <c r="G209" s="301"/>
      <c r="H209" s="301"/>
      <c r="I209" s="301"/>
      <c r="J209" s="301"/>
      <c r="K209" s="301"/>
      <c r="L209" s="301"/>
      <c r="M209" s="301"/>
      <c r="N209" s="301"/>
      <c r="O209" s="301"/>
      <c r="P209" s="301"/>
      <c r="Q209" s="301"/>
      <c r="R209" s="301"/>
      <c r="S209" s="301"/>
      <c r="T209" s="301"/>
      <c r="U209" s="301"/>
      <c r="V209" s="301"/>
      <c r="W209" s="301"/>
      <c r="X209" s="301"/>
      <c r="Y209" s="301"/>
      <c r="Z209" s="301"/>
      <c r="AA209" s="301"/>
      <c r="AB209" s="301"/>
      <c r="AC209" s="301"/>
      <c r="AD209" s="301"/>
      <c r="AE209" s="301"/>
      <c r="AF209" s="301"/>
      <c r="AG209" s="301"/>
      <c r="AO209" s="301"/>
      <c r="AP209" s="301"/>
      <c r="AQ209" s="301"/>
      <c r="BO209" s="301"/>
      <c r="BP209" s="301"/>
      <c r="BQ209" s="301"/>
      <c r="BR209" s="301"/>
      <c r="BS209" s="301"/>
    </row>
    <row r="210" spans="2:71" s="302" customFormat="1" x14ac:dyDescent="0.2">
      <c r="B210" s="306"/>
      <c r="D210" s="301"/>
      <c r="E210" s="301"/>
      <c r="F210" s="301"/>
      <c r="G210" s="301"/>
      <c r="H210" s="301"/>
      <c r="I210" s="301"/>
      <c r="J210" s="301"/>
      <c r="K210" s="301"/>
      <c r="L210" s="301"/>
      <c r="M210" s="301"/>
      <c r="N210" s="301"/>
      <c r="O210" s="301"/>
      <c r="P210" s="301"/>
      <c r="Q210" s="301"/>
      <c r="R210" s="301"/>
      <c r="S210" s="301"/>
      <c r="T210" s="301"/>
      <c r="U210" s="301"/>
      <c r="V210" s="301"/>
      <c r="W210" s="301"/>
      <c r="X210" s="301"/>
      <c r="Y210" s="301"/>
      <c r="Z210" s="301"/>
      <c r="AA210" s="301"/>
      <c r="AB210" s="301"/>
      <c r="AC210" s="301"/>
      <c r="AD210" s="301"/>
      <c r="AE210" s="301"/>
      <c r="AF210" s="301"/>
      <c r="AG210" s="301"/>
      <c r="AO210" s="301"/>
      <c r="AP210" s="301"/>
      <c r="AQ210" s="301"/>
      <c r="BO210" s="301"/>
      <c r="BP210" s="301"/>
      <c r="BQ210" s="301"/>
      <c r="BR210" s="301"/>
      <c r="BS210" s="301"/>
    </row>
    <row r="211" spans="2:71" s="302" customFormat="1" x14ac:dyDescent="0.2">
      <c r="B211" s="306"/>
      <c r="D211" s="301"/>
      <c r="E211" s="301"/>
      <c r="F211" s="301"/>
      <c r="G211" s="301"/>
      <c r="H211" s="301"/>
      <c r="I211" s="301"/>
      <c r="J211" s="301"/>
      <c r="K211" s="301"/>
      <c r="L211" s="301"/>
      <c r="M211" s="301"/>
      <c r="N211" s="301"/>
      <c r="O211" s="301"/>
      <c r="P211" s="301"/>
      <c r="Q211" s="301"/>
      <c r="R211" s="301"/>
      <c r="S211" s="301"/>
      <c r="T211" s="301"/>
      <c r="U211" s="301"/>
      <c r="V211" s="301"/>
      <c r="W211" s="301"/>
      <c r="X211" s="301"/>
      <c r="Y211" s="301"/>
      <c r="Z211" s="301"/>
      <c r="AA211" s="301"/>
      <c r="AB211" s="301"/>
      <c r="AC211" s="301"/>
      <c r="AD211" s="301"/>
      <c r="AE211" s="301"/>
      <c r="AF211" s="301"/>
      <c r="AG211" s="301"/>
      <c r="AO211" s="301"/>
      <c r="AP211" s="301"/>
      <c r="AQ211" s="301"/>
      <c r="BO211" s="301"/>
      <c r="BP211" s="301"/>
      <c r="BQ211" s="301"/>
      <c r="BR211" s="301"/>
      <c r="BS211" s="301"/>
    </row>
    <row r="212" spans="2:71" s="302" customFormat="1" x14ac:dyDescent="0.2">
      <c r="B212" s="306"/>
      <c r="D212" s="301"/>
      <c r="E212" s="301"/>
      <c r="F212" s="301"/>
      <c r="G212" s="301"/>
      <c r="H212" s="301"/>
      <c r="I212" s="301"/>
      <c r="J212" s="301"/>
      <c r="K212" s="301"/>
      <c r="L212" s="301"/>
      <c r="M212" s="301"/>
      <c r="N212" s="301"/>
      <c r="O212" s="301"/>
      <c r="P212" s="301"/>
      <c r="Q212" s="301"/>
      <c r="R212" s="301"/>
      <c r="S212" s="301"/>
      <c r="T212" s="301"/>
      <c r="U212" s="301"/>
      <c r="V212" s="301"/>
      <c r="W212" s="301"/>
      <c r="X212" s="301"/>
      <c r="Y212" s="301"/>
      <c r="Z212" s="301"/>
      <c r="AA212" s="301"/>
      <c r="AB212" s="301"/>
      <c r="AC212" s="301"/>
      <c r="AD212" s="301"/>
      <c r="AE212" s="301"/>
      <c r="AF212" s="301"/>
      <c r="AG212" s="301"/>
      <c r="AO212" s="301"/>
      <c r="AP212" s="301"/>
      <c r="AQ212" s="301"/>
      <c r="BO212" s="301"/>
      <c r="BP212" s="301"/>
      <c r="BQ212" s="301"/>
      <c r="BR212" s="301"/>
      <c r="BS212" s="301"/>
    </row>
    <row r="213" spans="2:71" s="302" customFormat="1" x14ac:dyDescent="0.2">
      <c r="B213" s="306"/>
      <c r="D213" s="301"/>
      <c r="E213" s="301"/>
      <c r="F213" s="301"/>
      <c r="G213" s="301"/>
      <c r="H213" s="301"/>
      <c r="I213" s="301"/>
      <c r="J213" s="301"/>
      <c r="K213" s="301"/>
      <c r="L213" s="301"/>
      <c r="M213" s="301"/>
      <c r="N213" s="301"/>
      <c r="O213" s="301"/>
      <c r="P213" s="301"/>
      <c r="Q213" s="301"/>
      <c r="R213" s="301"/>
      <c r="S213" s="301"/>
      <c r="T213" s="301"/>
      <c r="U213" s="301"/>
      <c r="V213" s="301"/>
      <c r="W213" s="301"/>
      <c r="X213" s="301"/>
      <c r="Y213" s="301"/>
      <c r="Z213" s="301"/>
      <c r="AA213" s="301"/>
      <c r="AB213" s="301"/>
      <c r="AC213" s="301"/>
      <c r="AD213" s="301"/>
      <c r="AE213" s="301"/>
      <c r="AF213" s="301"/>
      <c r="AG213" s="301"/>
      <c r="AO213" s="301"/>
      <c r="AP213" s="301"/>
      <c r="AQ213" s="301"/>
      <c r="BO213" s="301"/>
      <c r="BP213" s="301"/>
      <c r="BQ213" s="301"/>
      <c r="BR213" s="301"/>
      <c r="BS213" s="301"/>
    </row>
    <row r="214" spans="2:71" s="302" customFormat="1" x14ac:dyDescent="0.2">
      <c r="B214" s="306"/>
      <c r="D214" s="301"/>
      <c r="E214" s="301"/>
      <c r="F214" s="301"/>
      <c r="G214" s="301"/>
      <c r="H214" s="301"/>
      <c r="I214" s="301"/>
      <c r="J214" s="301"/>
      <c r="K214" s="301"/>
      <c r="L214" s="301"/>
      <c r="M214" s="301"/>
      <c r="N214" s="301"/>
      <c r="O214" s="301"/>
      <c r="P214" s="301"/>
      <c r="Q214" s="301"/>
      <c r="R214" s="301"/>
      <c r="S214" s="301"/>
      <c r="T214" s="301"/>
      <c r="U214" s="301"/>
      <c r="V214" s="301"/>
      <c r="W214" s="301"/>
      <c r="X214" s="301"/>
      <c r="Y214" s="301"/>
      <c r="Z214" s="301"/>
      <c r="AA214" s="301"/>
      <c r="AB214" s="301"/>
      <c r="AC214" s="301"/>
      <c r="AD214" s="301"/>
      <c r="AE214" s="301"/>
      <c r="AF214" s="301"/>
      <c r="AG214" s="301"/>
      <c r="AO214" s="301"/>
      <c r="AP214" s="301"/>
      <c r="AQ214" s="301"/>
      <c r="BO214" s="301"/>
      <c r="BP214" s="301"/>
      <c r="BQ214" s="301"/>
      <c r="BR214" s="301"/>
      <c r="BS214" s="301"/>
    </row>
    <row r="215" spans="2:71" s="302" customFormat="1" x14ac:dyDescent="0.2">
      <c r="B215" s="306"/>
      <c r="D215" s="301"/>
      <c r="E215" s="301"/>
      <c r="F215" s="301"/>
      <c r="G215" s="301"/>
      <c r="H215" s="301"/>
      <c r="I215" s="301"/>
      <c r="J215" s="301"/>
      <c r="K215" s="301"/>
      <c r="L215" s="301"/>
      <c r="M215" s="301"/>
      <c r="N215" s="301"/>
      <c r="O215" s="301"/>
      <c r="P215" s="301"/>
      <c r="Q215" s="301"/>
      <c r="R215" s="301"/>
      <c r="S215" s="301"/>
      <c r="T215" s="301"/>
      <c r="U215" s="301"/>
      <c r="V215" s="301"/>
      <c r="W215" s="301"/>
      <c r="X215" s="301"/>
      <c r="Y215" s="301"/>
      <c r="Z215" s="301"/>
      <c r="AA215" s="301"/>
      <c r="AB215" s="301"/>
      <c r="AC215" s="301"/>
      <c r="AD215" s="301"/>
      <c r="AE215" s="301"/>
      <c r="AF215" s="301"/>
      <c r="AG215" s="301"/>
      <c r="AO215" s="301"/>
      <c r="AP215" s="301"/>
      <c r="AQ215" s="301"/>
      <c r="BO215" s="301"/>
      <c r="BP215" s="301"/>
      <c r="BQ215" s="301"/>
      <c r="BR215" s="301"/>
      <c r="BS215" s="301"/>
    </row>
    <row r="216" spans="2:71" s="302" customFormat="1" x14ac:dyDescent="0.2">
      <c r="B216" s="306"/>
      <c r="D216" s="301"/>
      <c r="E216" s="301"/>
      <c r="F216" s="301"/>
      <c r="G216" s="301"/>
      <c r="H216" s="301"/>
      <c r="I216" s="301"/>
      <c r="J216" s="301"/>
      <c r="K216" s="301"/>
      <c r="L216" s="301"/>
      <c r="M216" s="301"/>
      <c r="N216" s="301"/>
      <c r="O216" s="301"/>
      <c r="P216" s="301"/>
      <c r="Q216" s="301"/>
      <c r="R216" s="301"/>
      <c r="S216" s="301"/>
      <c r="T216" s="301"/>
      <c r="U216" s="301"/>
      <c r="V216" s="301"/>
      <c r="W216" s="301"/>
      <c r="X216" s="301"/>
      <c r="Y216" s="301"/>
      <c r="Z216" s="301"/>
      <c r="AA216" s="301"/>
      <c r="AB216" s="301"/>
      <c r="AC216" s="301"/>
      <c r="AD216" s="301"/>
      <c r="AE216" s="301"/>
      <c r="AF216" s="301"/>
      <c r="AG216" s="301"/>
      <c r="AO216" s="301"/>
      <c r="AP216" s="301"/>
      <c r="AQ216" s="301"/>
      <c r="BO216" s="301"/>
      <c r="BP216" s="301"/>
      <c r="BQ216" s="301"/>
      <c r="BR216" s="301"/>
      <c r="BS216" s="301"/>
    </row>
    <row r="217" spans="2:71" s="302" customFormat="1" x14ac:dyDescent="0.2">
      <c r="B217" s="306"/>
      <c r="D217" s="301"/>
      <c r="E217" s="301"/>
      <c r="F217" s="301"/>
      <c r="G217" s="301"/>
      <c r="H217" s="301"/>
      <c r="I217" s="301"/>
      <c r="J217" s="301"/>
      <c r="K217" s="301"/>
      <c r="L217" s="301"/>
      <c r="M217" s="301"/>
      <c r="N217" s="301"/>
      <c r="O217" s="301"/>
      <c r="P217" s="301"/>
      <c r="Q217" s="301"/>
      <c r="R217" s="301"/>
      <c r="S217" s="301"/>
      <c r="T217" s="301"/>
      <c r="U217" s="301"/>
      <c r="V217" s="301"/>
      <c r="W217" s="301"/>
      <c r="X217" s="301"/>
      <c r="Y217" s="301"/>
      <c r="Z217" s="301"/>
      <c r="AA217" s="301"/>
      <c r="AB217" s="301"/>
      <c r="AC217" s="301"/>
      <c r="AD217" s="301"/>
      <c r="AE217" s="301"/>
      <c r="AF217" s="301"/>
      <c r="AG217" s="301"/>
      <c r="AO217" s="301"/>
      <c r="AP217" s="301"/>
      <c r="AQ217" s="301"/>
      <c r="BO217" s="301"/>
      <c r="BP217" s="301"/>
      <c r="BQ217" s="301"/>
      <c r="BR217" s="301"/>
      <c r="BS217" s="301"/>
    </row>
    <row r="218" spans="2:71" s="302" customFormat="1" x14ac:dyDescent="0.2">
      <c r="B218" s="306"/>
      <c r="D218" s="301"/>
      <c r="E218" s="301"/>
      <c r="F218" s="301"/>
      <c r="G218" s="301"/>
      <c r="H218" s="301"/>
      <c r="I218" s="301"/>
      <c r="J218" s="301"/>
      <c r="K218" s="301"/>
      <c r="L218" s="301"/>
      <c r="M218" s="301"/>
      <c r="N218" s="301"/>
      <c r="O218" s="301"/>
      <c r="P218" s="301"/>
      <c r="Q218" s="301"/>
      <c r="R218" s="301"/>
      <c r="S218" s="301"/>
      <c r="T218" s="301"/>
      <c r="U218" s="301"/>
      <c r="V218" s="301"/>
      <c r="W218" s="301"/>
      <c r="X218" s="301"/>
      <c r="Y218" s="301"/>
      <c r="Z218" s="301"/>
      <c r="AA218" s="301"/>
      <c r="AB218" s="301"/>
      <c r="AC218" s="301"/>
      <c r="AD218" s="301"/>
      <c r="AE218" s="301"/>
      <c r="AF218" s="301"/>
      <c r="AG218" s="301"/>
      <c r="AO218" s="301"/>
      <c r="AP218" s="301"/>
      <c r="AQ218" s="301"/>
      <c r="BO218" s="301"/>
      <c r="BP218" s="301"/>
      <c r="BQ218" s="301"/>
      <c r="BR218" s="301"/>
      <c r="BS218" s="301"/>
    </row>
    <row r="219" spans="2:71" s="302" customFormat="1" x14ac:dyDescent="0.2">
      <c r="B219" s="306"/>
      <c r="D219" s="301"/>
      <c r="E219" s="301"/>
      <c r="F219" s="301"/>
      <c r="G219" s="301"/>
      <c r="H219" s="301"/>
      <c r="I219" s="301"/>
      <c r="J219" s="301"/>
      <c r="K219" s="301"/>
      <c r="L219" s="301"/>
      <c r="M219" s="301"/>
      <c r="N219" s="301"/>
      <c r="O219" s="301"/>
      <c r="P219" s="301"/>
      <c r="Q219" s="301"/>
      <c r="R219" s="301"/>
      <c r="S219" s="301"/>
      <c r="T219" s="301"/>
      <c r="U219" s="301"/>
      <c r="V219" s="301"/>
      <c r="W219" s="301"/>
      <c r="X219" s="301"/>
      <c r="Y219" s="301"/>
      <c r="Z219" s="301"/>
      <c r="AA219" s="301"/>
      <c r="AB219" s="301"/>
      <c r="AC219" s="301"/>
      <c r="AD219" s="301"/>
      <c r="AE219" s="301"/>
      <c r="AF219" s="301"/>
      <c r="AG219" s="301"/>
      <c r="AO219" s="301"/>
      <c r="AP219" s="301"/>
      <c r="AQ219" s="301"/>
      <c r="BO219" s="301"/>
      <c r="BP219" s="301"/>
      <c r="BQ219" s="301"/>
      <c r="BR219" s="301"/>
      <c r="BS219" s="301"/>
    </row>
    <row r="220" spans="2:71" s="302" customFormat="1" x14ac:dyDescent="0.2">
      <c r="B220" s="306"/>
      <c r="D220" s="301"/>
      <c r="E220" s="301"/>
      <c r="F220" s="301"/>
      <c r="G220" s="301"/>
      <c r="H220" s="301"/>
      <c r="I220" s="301"/>
      <c r="J220" s="301"/>
      <c r="K220" s="301"/>
      <c r="L220" s="301"/>
      <c r="M220" s="301"/>
      <c r="N220" s="301"/>
      <c r="O220" s="301"/>
      <c r="P220" s="301"/>
      <c r="Q220" s="301"/>
      <c r="R220" s="301"/>
      <c r="S220" s="301"/>
      <c r="T220" s="301"/>
      <c r="U220" s="301"/>
      <c r="V220" s="301"/>
      <c r="W220" s="301"/>
      <c r="X220" s="301"/>
      <c r="Y220" s="301"/>
      <c r="Z220" s="301"/>
      <c r="AA220" s="301"/>
      <c r="AB220" s="301"/>
      <c r="AC220" s="301"/>
      <c r="AD220" s="301"/>
      <c r="AE220" s="301"/>
      <c r="AF220" s="301"/>
      <c r="AG220" s="301"/>
      <c r="AO220" s="301"/>
      <c r="AP220" s="301"/>
      <c r="AQ220" s="301"/>
      <c r="BO220" s="301"/>
      <c r="BP220" s="301"/>
      <c r="BQ220" s="301"/>
      <c r="BR220" s="301"/>
      <c r="BS220" s="301"/>
    </row>
    <row r="221" spans="2:71" x14ac:dyDescent="0.2">
      <c r="B221" s="255"/>
    </row>
    <row r="222" spans="2:71" x14ac:dyDescent="0.2">
      <c r="B222" s="255"/>
    </row>
    <row r="223" spans="2:71" x14ac:dyDescent="0.2">
      <c r="B223" s="255"/>
    </row>
    <row r="224" spans="2:71" x14ac:dyDescent="0.2">
      <c r="B224" s="255"/>
    </row>
    <row r="225" spans="2:2" x14ac:dyDescent="0.2">
      <c r="B225" s="255"/>
    </row>
    <row r="226" spans="2:2" x14ac:dyDescent="0.2">
      <c r="B226" s="255"/>
    </row>
    <row r="227" spans="2:2" x14ac:dyDescent="0.2">
      <c r="B227" s="255"/>
    </row>
    <row r="228" spans="2:2" x14ac:dyDescent="0.2">
      <c r="B228" s="255"/>
    </row>
    <row r="229" spans="2:2" x14ac:dyDescent="0.2">
      <c r="B229" s="255"/>
    </row>
    <row r="230" spans="2:2" x14ac:dyDescent="0.2">
      <c r="B230" s="255"/>
    </row>
    <row r="231" spans="2:2" x14ac:dyDescent="0.2">
      <c r="B231" s="255"/>
    </row>
    <row r="232" spans="2:2" x14ac:dyDescent="0.2">
      <c r="B232" s="255"/>
    </row>
    <row r="233" spans="2:2" x14ac:dyDescent="0.2">
      <c r="B233" s="255"/>
    </row>
    <row r="234" spans="2:2" x14ac:dyDescent="0.2">
      <c r="B234" s="255"/>
    </row>
    <row r="235" spans="2:2" x14ac:dyDescent="0.2">
      <c r="B235" s="255"/>
    </row>
    <row r="236" spans="2:2" x14ac:dyDescent="0.2">
      <c r="B236" s="255"/>
    </row>
    <row r="237" spans="2:2" x14ac:dyDescent="0.2">
      <c r="B237" s="255"/>
    </row>
    <row r="238" spans="2:2" x14ac:dyDescent="0.2">
      <c r="B238" s="255"/>
    </row>
    <row r="239" spans="2:2" x14ac:dyDescent="0.2">
      <c r="B239" s="255"/>
    </row>
    <row r="240" spans="2:2" x14ac:dyDescent="0.2">
      <c r="B240" s="255"/>
    </row>
    <row r="241" spans="2:2" x14ac:dyDescent="0.2">
      <c r="B241" s="255"/>
    </row>
    <row r="242" spans="2:2" x14ac:dyDescent="0.2">
      <c r="B242" s="255"/>
    </row>
    <row r="243" spans="2:2" x14ac:dyDescent="0.2">
      <c r="B243" s="255"/>
    </row>
    <row r="244" spans="2:2" x14ac:dyDescent="0.2">
      <c r="B244" s="255"/>
    </row>
    <row r="245" spans="2:2" x14ac:dyDescent="0.2">
      <c r="B245" s="255"/>
    </row>
    <row r="246" spans="2:2" x14ac:dyDescent="0.2">
      <c r="B246" s="255"/>
    </row>
    <row r="247" spans="2:2" x14ac:dyDescent="0.2">
      <c r="B247" s="255"/>
    </row>
    <row r="248" spans="2:2" x14ac:dyDescent="0.2">
      <c r="B248" s="255"/>
    </row>
    <row r="249" spans="2:2" x14ac:dyDescent="0.2">
      <c r="B249" s="255"/>
    </row>
    <row r="250" spans="2:2" x14ac:dyDescent="0.2">
      <c r="B250" s="255"/>
    </row>
    <row r="251" spans="2:2" x14ac:dyDescent="0.2">
      <c r="B251" s="255"/>
    </row>
    <row r="252" spans="2:2" x14ac:dyDescent="0.2">
      <c r="B252" s="255"/>
    </row>
    <row r="253" spans="2:2" x14ac:dyDescent="0.2">
      <c r="B253" s="255"/>
    </row>
    <row r="254" spans="2:2" x14ac:dyDescent="0.2">
      <c r="B254" s="255"/>
    </row>
    <row r="255" spans="2:2" x14ac:dyDescent="0.2">
      <c r="B255" s="255"/>
    </row>
    <row r="256" spans="2:2" x14ac:dyDescent="0.2">
      <c r="B256" s="255"/>
    </row>
    <row r="257" spans="2:2" x14ac:dyDescent="0.2">
      <c r="B257" s="255"/>
    </row>
    <row r="258" spans="2:2" x14ac:dyDescent="0.2">
      <c r="B258" s="255"/>
    </row>
    <row r="259" spans="2:2" x14ac:dyDescent="0.2">
      <c r="B259" s="255"/>
    </row>
    <row r="260" spans="2:2" x14ac:dyDescent="0.2">
      <c r="B260" s="255"/>
    </row>
    <row r="261" spans="2:2" x14ac:dyDescent="0.2">
      <c r="B261" s="255"/>
    </row>
    <row r="262" spans="2:2" x14ac:dyDescent="0.2">
      <c r="B262" s="255"/>
    </row>
    <row r="263" spans="2:2" x14ac:dyDescent="0.2">
      <c r="B263" s="255"/>
    </row>
    <row r="264" spans="2:2" x14ac:dyDescent="0.2">
      <c r="B264" s="255"/>
    </row>
    <row r="265" spans="2:2" x14ac:dyDescent="0.2">
      <c r="B265" s="255"/>
    </row>
    <row r="266" spans="2:2" x14ac:dyDescent="0.2">
      <c r="B266" s="255"/>
    </row>
    <row r="267" spans="2:2" x14ac:dyDescent="0.2">
      <c r="B267" s="255"/>
    </row>
    <row r="268" spans="2:2" x14ac:dyDescent="0.2">
      <c r="B268" s="255"/>
    </row>
    <row r="269" spans="2:2" x14ac:dyDescent="0.2">
      <c r="B269" s="255"/>
    </row>
    <row r="270" spans="2:2" x14ac:dyDescent="0.2">
      <c r="B270" s="255"/>
    </row>
    <row r="271" spans="2:2" x14ac:dyDescent="0.2">
      <c r="B271" s="255"/>
    </row>
    <row r="272" spans="2:2" x14ac:dyDescent="0.2">
      <c r="B272" s="255"/>
    </row>
    <row r="273" spans="2:2" x14ac:dyDescent="0.2">
      <c r="B273" s="255"/>
    </row>
    <row r="274" spans="2:2" x14ac:dyDescent="0.2">
      <c r="B274" s="255"/>
    </row>
    <row r="275" spans="2:2" x14ac:dyDescent="0.2">
      <c r="B275" s="255"/>
    </row>
    <row r="276" spans="2:2" x14ac:dyDescent="0.2">
      <c r="B276" s="255"/>
    </row>
    <row r="277" spans="2:2" x14ac:dyDescent="0.2">
      <c r="B277" s="255"/>
    </row>
    <row r="278" spans="2:2" x14ac:dyDescent="0.2">
      <c r="B278" s="255"/>
    </row>
    <row r="279" spans="2:2" x14ac:dyDescent="0.2">
      <c r="B279" s="255"/>
    </row>
    <row r="280" spans="2:2" x14ac:dyDescent="0.2">
      <c r="B280" s="255"/>
    </row>
    <row r="281" spans="2:2" x14ac:dyDescent="0.2">
      <c r="B281" s="255"/>
    </row>
    <row r="282" spans="2:2" x14ac:dyDescent="0.2">
      <c r="B282" s="255"/>
    </row>
    <row r="283" spans="2:2" x14ac:dyDescent="0.2">
      <c r="B283" s="255"/>
    </row>
    <row r="284" spans="2:2" x14ac:dyDescent="0.2">
      <c r="B284" s="255"/>
    </row>
    <row r="285" spans="2:2" x14ac:dyDescent="0.2">
      <c r="B285" s="255"/>
    </row>
    <row r="286" spans="2:2" x14ac:dyDescent="0.2">
      <c r="B286" s="255"/>
    </row>
    <row r="287" spans="2:2" x14ac:dyDescent="0.2">
      <c r="B287" s="255"/>
    </row>
    <row r="288" spans="2:2" x14ac:dyDescent="0.2">
      <c r="B288" s="255"/>
    </row>
    <row r="289" spans="2:2" x14ac:dyDescent="0.2">
      <c r="B289" s="255"/>
    </row>
    <row r="290" spans="2:2" x14ac:dyDescent="0.2">
      <c r="B290" s="255"/>
    </row>
    <row r="291" spans="2:2" x14ac:dyDescent="0.2">
      <c r="B291" s="255"/>
    </row>
    <row r="292" spans="2:2" x14ac:dyDescent="0.2">
      <c r="B292" s="255"/>
    </row>
    <row r="293" spans="2:2" x14ac:dyDescent="0.2">
      <c r="B293" s="255"/>
    </row>
    <row r="294" spans="2:2" x14ac:dyDescent="0.2">
      <c r="B294" s="255"/>
    </row>
    <row r="295" spans="2:2" x14ac:dyDescent="0.2">
      <c r="B295" s="255"/>
    </row>
    <row r="296" spans="2:2" x14ac:dyDescent="0.2">
      <c r="B296" s="255"/>
    </row>
    <row r="297" spans="2:2" x14ac:dyDescent="0.2">
      <c r="B297" s="255"/>
    </row>
    <row r="298" spans="2:2" x14ac:dyDescent="0.2">
      <c r="B298" s="255"/>
    </row>
    <row r="299" spans="2:2" x14ac:dyDescent="0.2">
      <c r="B299" s="255"/>
    </row>
    <row r="300" spans="2:2" x14ac:dyDescent="0.2">
      <c r="B300" s="255"/>
    </row>
    <row r="301" spans="2:2" x14ac:dyDescent="0.2">
      <c r="B301" s="255"/>
    </row>
    <row r="302" spans="2:2" x14ac:dyDescent="0.2">
      <c r="B302" s="255"/>
    </row>
    <row r="303" spans="2:2" x14ac:dyDescent="0.2">
      <c r="B303" s="255"/>
    </row>
    <row r="304" spans="2:2" x14ac:dyDescent="0.2">
      <c r="B304" s="255"/>
    </row>
    <row r="305" spans="2:2" x14ac:dyDescent="0.2">
      <c r="B305" s="255"/>
    </row>
    <row r="306" spans="2:2" x14ac:dyDescent="0.2">
      <c r="B306" s="255"/>
    </row>
    <row r="307" spans="2:2" x14ac:dyDescent="0.2">
      <c r="B307" s="255"/>
    </row>
    <row r="308" spans="2:2" x14ac:dyDescent="0.2">
      <c r="B308" s="255"/>
    </row>
    <row r="309" spans="2:2" x14ac:dyDescent="0.2">
      <c r="B309" s="255"/>
    </row>
    <row r="310" spans="2:2" x14ac:dyDescent="0.2">
      <c r="B310" s="255"/>
    </row>
    <row r="311" spans="2:2" x14ac:dyDescent="0.2">
      <c r="B311" s="255"/>
    </row>
    <row r="312" spans="2:2" x14ac:dyDescent="0.2">
      <c r="B312" s="255"/>
    </row>
    <row r="313" spans="2:2" x14ac:dyDescent="0.2">
      <c r="B313" s="255"/>
    </row>
    <row r="314" spans="2:2" x14ac:dyDescent="0.2">
      <c r="B314" s="255"/>
    </row>
    <row r="315" spans="2:2" x14ac:dyDescent="0.2">
      <c r="B315" s="255"/>
    </row>
    <row r="316" spans="2:2" x14ac:dyDescent="0.2">
      <c r="B316" s="255"/>
    </row>
    <row r="317" spans="2:2" x14ac:dyDescent="0.2">
      <c r="B317" s="255"/>
    </row>
    <row r="318" spans="2:2" x14ac:dyDescent="0.2">
      <c r="B318" s="255"/>
    </row>
    <row r="319" spans="2:2" x14ac:dyDescent="0.2">
      <c r="B319" s="255"/>
    </row>
    <row r="320" spans="2:2" x14ac:dyDescent="0.2">
      <c r="B320" s="255"/>
    </row>
    <row r="321" spans="2:2" x14ac:dyDescent="0.2">
      <c r="B321" s="255"/>
    </row>
    <row r="322" spans="2:2" x14ac:dyDescent="0.2">
      <c r="B322" s="255"/>
    </row>
    <row r="323" spans="2:2" x14ac:dyDescent="0.2">
      <c r="B323" s="255"/>
    </row>
    <row r="324" spans="2:2" x14ac:dyDescent="0.2">
      <c r="B324" s="255"/>
    </row>
    <row r="325" spans="2:2" x14ac:dyDescent="0.2">
      <c r="B325" s="255"/>
    </row>
    <row r="326" spans="2:2" x14ac:dyDescent="0.2">
      <c r="B326" s="255"/>
    </row>
    <row r="327" spans="2:2" x14ac:dyDescent="0.2">
      <c r="B327" s="255"/>
    </row>
    <row r="328" spans="2:2" x14ac:dyDescent="0.2">
      <c r="B328" s="255"/>
    </row>
    <row r="329" spans="2:2" x14ac:dyDescent="0.2">
      <c r="B329" s="255"/>
    </row>
    <row r="330" spans="2:2" x14ac:dyDescent="0.2">
      <c r="B330" s="255"/>
    </row>
    <row r="331" spans="2:2" x14ac:dyDescent="0.2">
      <c r="B331" s="255"/>
    </row>
    <row r="332" spans="2:2" x14ac:dyDescent="0.2">
      <c r="B332" s="255"/>
    </row>
    <row r="333" spans="2:2" x14ac:dyDescent="0.2">
      <c r="B333" s="255"/>
    </row>
    <row r="334" spans="2:2" x14ac:dyDescent="0.2">
      <c r="B334" s="255"/>
    </row>
    <row r="335" spans="2:2" x14ac:dyDescent="0.2">
      <c r="B335" s="255"/>
    </row>
    <row r="336" spans="2:2" x14ac:dyDescent="0.2">
      <c r="B336" s="255"/>
    </row>
    <row r="337" spans="2:2" x14ac:dyDescent="0.2">
      <c r="B337" s="255"/>
    </row>
    <row r="364" spans="2:6" x14ac:dyDescent="0.2">
      <c r="B364" s="256">
        <v>1999</v>
      </c>
      <c r="C364" s="86">
        <v>225</v>
      </c>
      <c r="D364" s="86">
        <v>0</v>
      </c>
      <c r="E364" s="88">
        <v>1</v>
      </c>
      <c r="F364" s="86">
        <v>750</v>
      </c>
    </row>
    <row r="365" spans="2:6" x14ac:dyDescent="0.2">
      <c r="B365" s="256">
        <v>1999</v>
      </c>
      <c r="C365" s="86">
        <v>225</v>
      </c>
      <c r="D365" s="86">
        <v>0</v>
      </c>
      <c r="E365" s="88">
        <v>1</v>
      </c>
      <c r="F365" s="86">
        <v>650</v>
      </c>
    </row>
    <row r="366" spans="2:6" x14ac:dyDescent="0.2">
      <c r="B366" s="256">
        <v>1999</v>
      </c>
      <c r="C366" s="86">
        <v>225</v>
      </c>
      <c r="D366" s="86">
        <v>0</v>
      </c>
      <c r="E366" s="88">
        <v>1</v>
      </c>
      <c r="F366" s="86">
        <v>700</v>
      </c>
    </row>
    <row r="367" spans="2:6" x14ac:dyDescent="0.2">
      <c r="B367" s="256">
        <v>1999</v>
      </c>
      <c r="C367" s="86">
        <v>225</v>
      </c>
      <c r="D367" s="86">
        <v>0</v>
      </c>
      <c r="E367" s="88">
        <v>1</v>
      </c>
      <c r="F367" s="86">
        <v>950</v>
      </c>
    </row>
  </sheetData>
  <mergeCells count="3">
    <mergeCell ref="AA27:AB27"/>
    <mergeCell ref="C5:C6"/>
    <mergeCell ref="D5:D6"/>
  </mergeCells>
  <phoneticPr fontId="2" type="noConversion"/>
  <dataValidations count="1">
    <dataValidation type="list" allowBlank="1" showInputMessage="1" showErrorMessage="1" sqref="J8">
      <formula1>$K$8:$K$9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ResetParameter2PriorEstimate">
                <anchor moveWithCells="1">
                  <from>
                    <xdr:col>2</xdr:col>
                    <xdr:colOff>0</xdr:colOff>
                    <xdr:row>42</xdr:row>
                    <xdr:rowOff>47625</xdr:rowOff>
                  </from>
                  <to>
                    <xdr:col>3</xdr:col>
                    <xdr:colOff>581025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5" name="Button 82">
              <controlPr defaultSize="0" print="0" autoFill="0" autoPict="0" macro="[0]!PropagateDialog">
                <anchor moveWithCells="1">
                  <from>
                    <xdr:col>9</xdr:col>
                    <xdr:colOff>714375</xdr:colOff>
                    <xdr:row>42</xdr:row>
                    <xdr:rowOff>85725</xdr:rowOff>
                  </from>
                  <to>
                    <xdr:col>11</xdr:col>
                    <xdr:colOff>457200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6" name="Button 84">
              <controlPr defaultSize="0" print="0" autoFill="0" autoPict="0" macro="[0]!SolveDialog">
                <anchor moveWithCells="1">
                  <from>
                    <xdr:col>6</xdr:col>
                    <xdr:colOff>247650</xdr:colOff>
                    <xdr:row>42</xdr:row>
                    <xdr:rowOff>104775</xdr:rowOff>
                  </from>
                  <to>
                    <xdr:col>7</xdr:col>
                    <xdr:colOff>638175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1" tint="0.499984740745262"/>
  </sheetPr>
  <dimension ref="A1:H77"/>
  <sheetViews>
    <sheetView workbookViewId="0">
      <selection activeCell="B39" sqref="B39"/>
    </sheetView>
  </sheetViews>
  <sheetFormatPr defaultColWidth="8.85546875" defaultRowHeight="12.75" x14ac:dyDescent="0.2"/>
  <cols>
    <col min="1" max="1" width="8.85546875" style="2" customWidth="1"/>
    <col min="2" max="2" width="43.85546875" style="2" customWidth="1"/>
    <col min="3" max="6" width="8.85546875" style="2" customWidth="1"/>
    <col min="7" max="7" width="29.7109375" style="2" customWidth="1"/>
    <col min="8" max="16384" width="8.85546875" style="2"/>
  </cols>
  <sheetData>
    <row r="1" spans="1:8" ht="15.75" x14ac:dyDescent="0.25">
      <c r="A1" s="49" t="s">
        <v>132</v>
      </c>
    </row>
    <row r="3" spans="1:8" ht="18.75" customHeight="1" x14ac:dyDescent="0.2">
      <c r="G3" s="9"/>
      <c r="H3" s="9"/>
    </row>
    <row r="4" spans="1:8" ht="14.45" customHeight="1" x14ac:dyDescent="0.25">
      <c r="B4" s="125" t="s">
        <v>115</v>
      </c>
      <c r="G4" s="9"/>
      <c r="H4" s="9"/>
    </row>
    <row r="5" spans="1:8" ht="14.45" customHeight="1" x14ac:dyDescent="0.25">
      <c r="B5" s="125"/>
      <c r="G5" s="9"/>
      <c r="H5" s="9"/>
    </row>
    <row r="6" spans="1:8" ht="12.75" customHeight="1" x14ac:dyDescent="0.2">
      <c r="B6" s="2" t="s">
        <v>99</v>
      </c>
      <c r="C6" s="12">
        <v>5.4000000000000001E-4</v>
      </c>
      <c r="D6" s="103" t="s">
        <v>17</v>
      </c>
      <c r="G6" s="96" t="s">
        <v>130</v>
      </c>
      <c r="H6" s="126">
        <f>-(C10/(C12*C7*C9*C8)+C6*C11*C7/C12)</f>
        <v>-0.1303854545454545</v>
      </c>
    </row>
    <row r="7" spans="1:8" ht="12.75" customHeight="1" x14ac:dyDescent="0.2">
      <c r="B7" s="2" t="s">
        <v>102</v>
      </c>
      <c r="C7" s="12">
        <v>50</v>
      </c>
      <c r="D7" s="25" t="s">
        <v>42</v>
      </c>
      <c r="G7" s="96" t="s">
        <v>131</v>
      </c>
      <c r="H7" s="126">
        <f>(H6+1-EXP(H6))/(H6*(1-EXP(H6)))</f>
        <v>0.51086237717918515</v>
      </c>
    </row>
    <row r="8" spans="1:8" ht="12.75" customHeight="1" x14ac:dyDescent="0.2">
      <c r="B8" s="2" t="s">
        <v>100</v>
      </c>
      <c r="C8" s="12">
        <v>1.1000000000000001</v>
      </c>
      <c r="D8" s="111" t="s">
        <v>101</v>
      </c>
      <c r="G8" s="96"/>
      <c r="H8" s="126"/>
    </row>
    <row r="9" spans="1:8" x14ac:dyDescent="0.2">
      <c r="B9" s="105" t="s">
        <v>10</v>
      </c>
      <c r="C9" s="120">
        <f>Input!D12</f>
        <v>10</v>
      </c>
      <c r="D9" s="25" t="s">
        <v>42</v>
      </c>
    </row>
    <row r="10" spans="1:8" x14ac:dyDescent="0.2">
      <c r="B10" s="105" t="s">
        <v>11</v>
      </c>
      <c r="C10" s="120">
        <f>Input!D19</f>
        <v>2.7E-2</v>
      </c>
      <c r="D10" s="1" t="s">
        <v>58</v>
      </c>
      <c r="G10" s="9"/>
      <c r="H10" s="9"/>
    </row>
    <row r="11" spans="1:8" x14ac:dyDescent="0.2">
      <c r="B11" s="2" t="s">
        <v>103</v>
      </c>
      <c r="C11" s="121">
        <f>Input!D9</f>
        <v>0.3</v>
      </c>
      <c r="D11" s="1" t="s">
        <v>55</v>
      </c>
      <c r="G11" s="9"/>
      <c r="H11" s="9"/>
    </row>
    <row r="12" spans="1:8" x14ac:dyDescent="0.2">
      <c r="B12" s="2" t="s">
        <v>104</v>
      </c>
      <c r="C12" s="120">
        <f>Input!D8</f>
        <v>6.2500000000000014E-2</v>
      </c>
      <c r="D12" s="25" t="s">
        <v>15</v>
      </c>
      <c r="G12" s="9"/>
      <c r="H12" s="9"/>
    </row>
    <row r="14" spans="1:8" ht="13.15" customHeight="1" x14ac:dyDescent="0.2">
      <c r="B14" s="2" t="s">
        <v>114</v>
      </c>
      <c r="C14" s="127">
        <f>H7*C11*C6*C7/(H7*C11*C6*C7+C12)</f>
        <v>6.2096494053765154E-2</v>
      </c>
      <c r="D14" s="1" t="s">
        <v>55</v>
      </c>
      <c r="G14" s="9"/>
      <c r="H14" s="9"/>
    </row>
    <row r="15" spans="1:8" ht="13.15" customHeight="1" x14ac:dyDescent="0.2">
      <c r="G15" s="9"/>
      <c r="H15" s="9"/>
    </row>
    <row r="16" spans="1:8" ht="12.6" customHeight="1" x14ac:dyDescent="0.2">
      <c r="G16" s="9"/>
      <c r="H16" s="9"/>
    </row>
    <row r="17" spans="1:8" ht="13.15" customHeight="1" x14ac:dyDescent="0.2">
      <c r="G17" s="9"/>
      <c r="H17" s="9"/>
    </row>
    <row r="18" spans="1:8" ht="15" x14ac:dyDescent="0.25">
      <c r="B18" s="125" t="s">
        <v>124</v>
      </c>
      <c r="G18" s="9"/>
      <c r="H18" s="9"/>
    </row>
    <row r="19" spans="1:8" ht="15" x14ac:dyDescent="0.25">
      <c r="B19" s="125"/>
      <c r="G19" s="9"/>
      <c r="H19" s="9"/>
    </row>
    <row r="20" spans="1:8" x14ac:dyDescent="0.2">
      <c r="B20" s="2" t="s">
        <v>125</v>
      </c>
      <c r="C20" s="12">
        <v>950</v>
      </c>
      <c r="D20" s="103" t="s">
        <v>127</v>
      </c>
      <c r="G20" s="9"/>
      <c r="H20" s="9"/>
    </row>
    <row r="21" spans="1:8" x14ac:dyDescent="0.2">
      <c r="B21" s="2" t="s">
        <v>126</v>
      </c>
      <c r="C21" s="12">
        <v>50</v>
      </c>
      <c r="D21" s="103" t="s">
        <v>127</v>
      </c>
      <c r="G21" s="9"/>
      <c r="H21" s="9"/>
    </row>
    <row r="22" spans="1:8" x14ac:dyDescent="0.2">
      <c r="G22" s="9"/>
      <c r="H22" s="9"/>
    </row>
    <row r="23" spans="1:8" x14ac:dyDescent="0.2">
      <c r="B23" s="2" t="s">
        <v>114</v>
      </c>
      <c r="C23" s="127">
        <f>C21/(C21+C20)</f>
        <v>0.05</v>
      </c>
      <c r="D23" s="1" t="s">
        <v>55</v>
      </c>
      <c r="G23" s="9"/>
      <c r="H23" s="9"/>
    </row>
    <row r="24" spans="1:8" x14ac:dyDescent="0.2">
      <c r="G24" s="9"/>
      <c r="H24" s="9"/>
    </row>
    <row r="25" spans="1:8" x14ac:dyDescent="0.2">
      <c r="B25" s="9"/>
      <c r="C25" s="9"/>
      <c r="G25" s="9"/>
      <c r="H25" s="9"/>
    </row>
    <row r="26" spans="1:8" x14ac:dyDescent="0.2">
      <c r="A26" s="63"/>
      <c r="B26" s="119" t="s">
        <v>129</v>
      </c>
      <c r="C26" s="9"/>
      <c r="G26" s="9"/>
      <c r="H26" s="9"/>
    </row>
    <row r="27" spans="1:8" x14ac:dyDescent="0.2">
      <c r="A27" s="61"/>
      <c r="B27" s="61"/>
      <c r="G27" s="9"/>
      <c r="H27" s="9"/>
    </row>
    <row r="28" spans="1:8" x14ac:dyDescent="0.2">
      <c r="G28" s="9"/>
      <c r="H28" s="9"/>
    </row>
    <row r="29" spans="1:8" x14ac:dyDescent="0.2">
      <c r="G29" s="9"/>
      <c r="H29" s="9"/>
    </row>
    <row r="30" spans="1:8" x14ac:dyDescent="0.2">
      <c r="G30" s="9"/>
      <c r="H30" s="9"/>
    </row>
    <row r="31" spans="1:8" x14ac:dyDescent="0.2">
      <c r="G31" s="9"/>
      <c r="H31" s="9"/>
    </row>
    <row r="32" spans="1:8" x14ac:dyDescent="0.2">
      <c r="G32" s="9"/>
      <c r="H32" s="9"/>
    </row>
    <row r="33" spans="7:8" x14ac:dyDescent="0.2">
      <c r="G33" s="9"/>
      <c r="H33" s="9"/>
    </row>
    <row r="34" spans="7:8" x14ac:dyDescent="0.2">
      <c r="G34" s="9"/>
      <c r="H34" s="9"/>
    </row>
    <row r="35" spans="7:8" x14ac:dyDescent="0.2">
      <c r="G35" s="9"/>
      <c r="H35" s="9"/>
    </row>
    <row r="36" spans="7:8" x14ac:dyDescent="0.2">
      <c r="G36" s="9"/>
      <c r="H36" s="9"/>
    </row>
    <row r="37" spans="7:8" x14ac:dyDescent="0.2">
      <c r="G37" s="9"/>
      <c r="H37" s="9"/>
    </row>
    <row r="38" spans="7:8" x14ac:dyDescent="0.2">
      <c r="G38" s="9"/>
      <c r="H38" s="9"/>
    </row>
    <row r="77" s="3" customFormat="1" x14ac:dyDescent="0.2"/>
  </sheetData>
  <protectedRanges>
    <protectedRange sqref="C20:C21 C8 C6:C7 C9:C10 C11:C12" name="Range1"/>
  </protectedRanges>
  <phoneticPr fontId="2" type="noConversion"/>
  <hyperlinks>
    <hyperlink ref="B26" location="Input!A1" display="Return to Input Sheet"/>
  </hyperlink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theme="1" tint="0.499984740745262"/>
  </sheetPr>
  <dimension ref="A1:H67"/>
  <sheetViews>
    <sheetView workbookViewId="0">
      <selection activeCell="B38" sqref="B38"/>
    </sheetView>
  </sheetViews>
  <sheetFormatPr defaultColWidth="8.85546875" defaultRowHeight="12.75" x14ac:dyDescent="0.2"/>
  <cols>
    <col min="1" max="1" width="8.85546875" style="2" customWidth="1"/>
    <col min="2" max="2" width="60.28515625" style="2" customWidth="1"/>
    <col min="3" max="6" width="8.85546875" style="2" customWidth="1"/>
    <col min="7" max="7" width="29.7109375" style="2" customWidth="1"/>
    <col min="8" max="16384" width="8.85546875" style="2"/>
  </cols>
  <sheetData>
    <row r="1" spans="1:8" ht="15.75" x14ac:dyDescent="0.25">
      <c r="A1" s="49" t="s">
        <v>133</v>
      </c>
    </row>
    <row r="3" spans="1:8" ht="18.75" customHeight="1" x14ac:dyDescent="0.2">
      <c r="G3" s="9"/>
      <c r="H3" s="9"/>
    </row>
    <row r="4" spans="1:8" ht="14.45" customHeight="1" x14ac:dyDescent="0.25">
      <c r="B4" s="187" t="s">
        <v>115</v>
      </c>
      <c r="C4" s="9"/>
      <c r="D4" s="9"/>
      <c r="E4" s="9"/>
      <c r="G4" s="9"/>
      <c r="H4" s="9"/>
    </row>
    <row r="5" spans="1:8" ht="14.45" customHeight="1" x14ac:dyDescent="0.25">
      <c r="B5" s="125"/>
      <c r="G5" s="9"/>
      <c r="H5" s="9"/>
    </row>
    <row r="6" spans="1:8" ht="12.75" customHeight="1" x14ac:dyDescent="0.2">
      <c r="B6" s="2" t="s">
        <v>135</v>
      </c>
      <c r="C6" s="10">
        <v>0.01</v>
      </c>
      <c r="D6" s="1" t="s">
        <v>55</v>
      </c>
      <c r="G6" s="96"/>
      <c r="H6" s="126"/>
    </row>
    <row r="7" spans="1:8" ht="12.75" customHeight="1" x14ac:dyDescent="0.2">
      <c r="B7" s="2" t="s">
        <v>134</v>
      </c>
      <c r="C7" s="10">
        <v>0.1</v>
      </c>
      <c r="D7" s="1" t="s">
        <v>55</v>
      </c>
      <c r="G7" s="96"/>
      <c r="H7" s="126"/>
    </row>
    <row r="8" spans="1:8" ht="12.75" customHeight="1" x14ac:dyDescent="0.2">
      <c r="B8" s="2" t="s">
        <v>137</v>
      </c>
      <c r="C8" s="13"/>
      <c r="D8" s="1" t="s">
        <v>139</v>
      </c>
      <c r="E8" s="122" t="s">
        <v>142</v>
      </c>
      <c r="G8" s="96"/>
      <c r="H8" s="126"/>
    </row>
    <row r="9" spans="1:8" x14ac:dyDescent="0.2">
      <c r="B9" s="105" t="s">
        <v>136</v>
      </c>
      <c r="C9" s="121">
        <f>Input!D22</f>
        <v>0.8</v>
      </c>
      <c r="D9" s="1" t="s">
        <v>55</v>
      </c>
    </row>
    <row r="10" spans="1:8" x14ac:dyDescent="0.2">
      <c r="B10" s="105"/>
      <c r="C10" s="1"/>
      <c r="D10" s="1"/>
    </row>
    <row r="11" spans="1:8" ht="13.15" customHeight="1" x14ac:dyDescent="0.2">
      <c r="B11" s="2" t="s">
        <v>138</v>
      </c>
      <c r="C11" s="128">
        <f>IF(C8&lt;&gt;"",C8/100,1-(C6/C7)^C9)</f>
        <v>0.84151068075388868</v>
      </c>
      <c r="D11" s="1" t="s">
        <v>55</v>
      </c>
      <c r="G11" s="9"/>
      <c r="H11" s="9"/>
    </row>
    <row r="12" spans="1:8" ht="13.15" customHeight="1" x14ac:dyDescent="0.2">
      <c r="B12" s="2" t="s">
        <v>121</v>
      </c>
      <c r="C12" s="128">
        <f>((1-C11)^C9)*C7/C6</f>
        <v>2.2908676527677732</v>
      </c>
      <c r="D12" s="1" t="s">
        <v>55</v>
      </c>
      <c r="G12" s="9"/>
      <c r="H12" s="9"/>
    </row>
    <row r="13" spans="1:8" ht="12.6" customHeight="1" x14ac:dyDescent="0.2">
      <c r="G13" s="9"/>
      <c r="H13" s="9"/>
    </row>
    <row r="14" spans="1:8" x14ac:dyDescent="0.2">
      <c r="G14" s="9"/>
      <c r="H14" s="9"/>
    </row>
    <row r="15" spans="1:8" x14ac:dyDescent="0.2">
      <c r="B15" s="9"/>
      <c r="C15" s="9"/>
      <c r="G15" s="9"/>
      <c r="H15" s="9"/>
    </row>
    <row r="16" spans="1:8" x14ac:dyDescent="0.2">
      <c r="A16" s="63"/>
      <c r="C16" s="9"/>
      <c r="G16" s="9"/>
      <c r="H16" s="9"/>
    </row>
    <row r="17" spans="1:8" x14ac:dyDescent="0.2">
      <c r="A17" s="61"/>
      <c r="B17" s="61"/>
      <c r="G17" s="9"/>
      <c r="H17" s="9"/>
    </row>
    <row r="18" spans="1:8" x14ac:dyDescent="0.2">
      <c r="G18" s="9"/>
      <c r="H18" s="9"/>
    </row>
    <row r="19" spans="1:8" x14ac:dyDescent="0.2">
      <c r="B19" s="122" t="s">
        <v>140</v>
      </c>
      <c r="G19" s="9"/>
      <c r="H19" s="9"/>
    </row>
    <row r="20" spans="1:8" x14ac:dyDescent="0.2">
      <c r="B20" s="122" t="s">
        <v>141</v>
      </c>
      <c r="G20" s="9"/>
      <c r="H20" s="9"/>
    </row>
    <row r="21" spans="1:8" x14ac:dyDescent="0.2">
      <c r="G21" s="9"/>
      <c r="H21" s="9"/>
    </row>
    <row r="22" spans="1:8" x14ac:dyDescent="0.2">
      <c r="G22" s="9"/>
      <c r="H22" s="9"/>
    </row>
    <row r="23" spans="1:8" x14ac:dyDescent="0.2">
      <c r="G23" s="9"/>
      <c r="H23" s="9"/>
    </row>
    <row r="24" spans="1:8" x14ac:dyDescent="0.2">
      <c r="G24" s="9"/>
      <c r="H24" s="9"/>
    </row>
    <row r="25" spans="1:8" x14ac:dyDescent="0.2">
      <c r="G25" s="9"/>
      <c r="H25" s="9"/>
    </row>
    <row r="26" spans="1:8" x14ac:dyDescent="0.2">
      <c r="G26" s="9"/>
      <c r="H26" s="9"/>
    </row>
    <row r="27" spans="1:8" x14ac:dyDescent="0.2">
      <c r="G27" s="9"/>
      <c r="H27" s="9"/>
    </row>
    <row r="28" spans="1:8" x14ac:dyDescent="0.2">
      <c r="G28" s="9"/>
      <c r="H28" s="9"/>
    </row>
    <row r="67" s="3" customFormat="1" x14ac:dyDescent="0.2"/>
  </sheetData>
  <protectedRanges>
    <protectedRange sqref="C6:C9" name="Range1"/>
  </protectedRanges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Input</vt:lpstr>
      <vt:lpstr>Plume</vt:lpstr>
      <vt:lpstr>Cxyt</vt:lpstr>
      <vt:lpstr>Fit</vt:lpstr>
      <vt:lpstr>Fbio</vt:lpstr>
      <vt:lpstr>Mre</vt:lpstr>
      <vt:lpstr>ObjectiveFunctionRange</vt:lpstr>
      <vt:lpstr>Fit!ObjFuncCell</vt:lpstr>
      <vt:lpstr>Fit!PredictionRange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</dc:creator>
  <cp:lastModifiedBy>Tang, Guoping</cp:lastModifiedBy>
  <cp:lastPrinted>2007-07-12T21:14:45Z</cp:lastPrinted>
  <dcterms:created xsi:type="dcterms:W3CDTF">2006-03-29T17:56:00Z</dcterms:created>
  <dcterms:modified xsi:type="dcterms:W3CDTF">2012-03-08T18:18:24Z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-1239389247</vt:i4>
  </property>
  <property fmtid="{D5CDD505-2E9C-101B-9397-08002B2CF9AE}" pid="3" name="_NewReviewCycle">
    <vt:lpwstr/>
  </property>
  <property fmtid="{D5CDD505-2E9C-101B-9397-08002B2CF9AE}" pid="4" name="_EmailSubject">
    <vt:lpwstr>Homework, codes, etc</vt:lpwstr>
  </property>
  <property fmtid="{D5CDD505-2E9C-101B-9397-08002B2CF9AE}" pid="5" name="_AuthorEmail">
    <vt:lpwstr>jparker@utk.edu</vt:lpwstr>
  </property>
  <property fmtid="{D5CDD505-2E9C-101B-9397-08002B2CF9AE}" pid="6" name="_AuthorEmailDisplayName">
    <vt:lpwstr>Parker, Jack (Jack)</vt:lpwstr>
  </property>
  <property fmtid="{D5CDD505-2E9C-101B-9397-08002B2CF9AE}" pid="7" name="_ReviewingToolsShownOnce">
    <vt:lpwstr/>
  </property>
</Properties>
</file>